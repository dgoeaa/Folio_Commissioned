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Findings" sheetId="4" state="visible" r:id="rId4"/>
  </sheets>
  <definedNames>
    <definedName name="_xlnm._FilterDatabase" localSheetId="1" hidden="1">'Register'!$A$1:$U$269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05583B"/>
      <sz val="14"/>
    </font>
    <font>
      <name val="Arial"/>
      <color rgb="00373435"/>
      <sz val="10"/>
    </font>
    <font>
      <name val="Arial"/>
      <b val="1"/>
      <color rgb="0005583B"/>
      <sz val="10"/>
    </font>
    <font>
      <name val="Arial"/>
      <i val="1"/>
      <color rgb="00373435"/>
      <sz val="10"/>
    </font>
    <font>
      <name val="Arial"/>
      <b val="1"/>
      <color rgb="00FFFFFF"/>
      <sz val="10"/>
    </font>
    <font>
      <name val="Arial"/>
      <b val="1"/>
      <color rgb="00373435"/>
      <sz val="10"/>
    </font>
    <font>
      <name val="Arial"/>
      <b val="1"/>
      <color rgb="0005583B"/>
      <sz val="12"/>
    </font>
  </fonts>
  <fills count="9">
    <fill>
      <patternFill/>
    </fill>
    <fill>
      <patternFill patternType="gray125"/>
    </fill>
    <fill>
      <patternFill patternType="solid">
        <fgColor rgb="0005583B"/>
      </patternFill>
    </fill>
    <fill>
      <patternFill patternType="solid">
        <fgColor rgb="00FBE7EB"/>
      </patternFill>
    </fill>
    <fill>
      <patternFill patternType="solid">
        <fgColor rgb="00FFF2CC"/>
      </patternFill>
    </fill>
    <fill>
      <patternFill patternType="solid">
        <fgColor rgb="00FBF1D8"/>
      </patternFill>
    </fill>
    <fill>
      <patternFill patternType="solid">
        <fgColor rgb="00FFFFFF"/>
      </patternFill>
    </fill>
    <fill>
      <patternFill patternType="solid">
        <fgColor rgb="00E6F7ED"/>
      </patternFill>
    </fill>
    <fill>
      <patternFill patternType="solid">
        <fgColor rgb="00F3F2F2"/>
      </patternFill>
    </fill>
  </fills>
  <borders count="2">
    <border>
      <left/>
      <right/>
      <top/>
      <bottom/>
      <diagonal/>
    </border>
    <border>
      <bottom style="thin">
        <color rgb="00E8E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0" borderId="0" pivotButton="0" quotePrefix="0" xfId="0"/>
    <xf numFmtId="0" fontId="5" fillId="2" borderId="0" applyAlignment="1" pivotButton="0" quotePrefix="0" xfId="0">
      <alignment wrapText="1"/>
    </xf>
    <xf numFmtId="0" fontId="2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Folio Template Register — consolidated draft</t>
        </is>
      </c>
    </row>
    <row r="2">
      <c r="A2" s="2" t="inlineStr">
        <is>
          <t>Every template and every message across Folio (Workspace, Document Portal, Correspondence Mailer, governance flows, tools), with nothing exempted: live sends, client-composed e-mails, in-app notices, retired and superseded items, unwired libraries and non-message templates.</t>
        </is>
      </c>
    </row>
    <row r="3">
      <c r="A3" s="2" t="inlineStr"/>
    </row>
    <row r="4">
      <c r="A4" s="3" t="inlineStr">
        <is>
          <t>Sources</t>
        </is>
      </c>
    </row>
    <row r="5">
      <c r="A5" s="2" t="inlineStr">
        <is>
          <t>Baseline branch claude/system-remediation-gaps-ahpmsy at commit c33ed52 (2026-10-19 02:41, Release 38).</t>
        </is>
      </c>
    </row>
    <row r="6">
      <c r="A6" s="2" t="inlineStr">
        <is>
          <t>Live definitions of all 43 adopted flows, read by flow ID on 2026-10-19 at 02:32 UTC (run 08584092297923146268802111059CU06). All 51 catalogue messages match the live flows; every live flow matches its Release 38 package.</t>
        </is>
      </c>
    </row>
    <row r="7">
      <c r="A7" s="2" t="inlineStr">
        <is>
          <t>config/notification-matrix.config.js (39 required notifications, 7 surplus entries); email-catalogue/catalogue.json; registers/flow-adoption.json (43 adopted, 79 retired).</t>
        </is>
      </c>
    </row>
    <row r="8">
      <c r="A8" s="2" t="inlineStr">
        <is>
          <t>Brand revalidation 2026-10-19 (baseline d1a8bd0, 21:26 UTC): branding, sub-branding, design system, styling and visual assets rechecked. Column "Brand check (d1a8bd0)" records which repository check, if any, holds each template to the brand; findings B1-B6 are on the Findings sheet; F3, F4 and F7 are corrected there.</t>
        </is>
      </c>
    </row>
    <row r="9">
      <c r="A9" s="2" t="inlineStr"/>
    </row>
    <row r="10">
      <c r="A10" s="3" t="inlineStr">
        <is>
          <t>Status values</t>
        </is>
      </c>
    </row>
    <row r="11">
      <c r="A11" s="2" t="inlineStr">
        <is>
          <t>GAP — needs work: outside the catalogue, not brand-reviewed, or a defect.</t>
        </is>
      </c>
    </row>
    <row r="12">
      <c r="A12" s="2" t="inlineStr">
        <is>
          <t>DECISION — an owner decision is needed before any work.</t>
        </is>
      </c>
    </row>
    <row r="13">
      <c r="A13" s="2" t="inlineStr">
        <is>
          <t>NOT DEPLOYED — specified, with its own messages, but not in the adopted estate.</t>
        </is>
      </c>
    </row>
    <row r="14">
      <c r="A14" s="2" t="inlineStr">
        <is>
          <t>INFO — recorded for completeness; no action needed now.</t>
        </is>
      </c>
    </row>
    <row r="15">
      <c r="A15" s="2" t="inlineStr">
        <is>
          <t>OK — carried, checked and live (or present, for non-message templates).</t>
        </is>
      </c>
    </row>
    <row r="16">
      <c r="A16" s="2" t="inlineStr">
        <is>
          <t>RETIRED / WITHDRAWN — retired flow, superseded artefact or withdrawn requirement; tracked until deleted.</t>
        </is>
      </c>
    </row>
    <row r="17">
      <c r="A17" s="2" t="inlineStr"/>
    </row>
    <row r="18">
      <c r="A18" s="3" t="inlineStr">
        <is>
          <t>How to use it</t>
        </is>
      </c>
    </row>
    <row r="19">
      <c r="A19" s="2" t="inlineStr">
        <is>
          <t>Fill in the shaded columns on the Register sheet: Owner, Target date and Decision / notes. Change Status from its drop-down as items close. Every other column is generated from the sources and should not need editing.</t>
        </is>
      </c>
    </row>
    <row r="20">
      <c r="A20" s="4" t="inlineStr">
        <is>
          <t>Example: TR-xxx · Owner "Technical owner" · Target date 2026-10-31 · Decision / notes "Fragments from the Workspace; no flow release".</t>
        </is>
      </c>
    </row>
    <row r="21">
      <c r="A21" s="2" t="inlineStr">
        <is>
          <t>The Summary sheet counts by category and status with formulas, so it follows your edits. Findings F1–F7 are on the Findings sheet.</t>
        </is>
      </c>
    </row>
    <row r="22">
      <c r="A22" s="2" t="inlineStr"/>
    </row>
    <row r="23">
      <c r="A23" s="4" t="inlineStr">
        <is>
          <t>Draft prepared read-only: nothing in the repository or the tenant was changed.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20" customWidth="1" min="3" max="3"/>
    <col width="40" customWidth="1" min="4" max="4"/>
    <col width="32" customWidth="1" min="5" max="5"/>
    <col width="20" customWidth="1" min="6" max="6"/>
    <col width="30" customWidth="1" min="7" max="7"/>
    <col width="18" customWidth="1" min="8" max="8"/>
    <col width="14" customWidth="1" min="9" max="9"/>
    <col width="30" customWidth="1" min="10" max="10"/>
    <col width="42" customWidth="1" min="11" max="11"/>
    <col width="12" customWidth="1" min="12" max="12"/>
    <col width="16" customWidth="1" min="13" max="13"/>
    <col width="34" customWidth="1" min="14" max="14"/>
    <col width="24" customWidth="1" min="15" max="15"/>
    <col width="13" customWidth="1" min="16" max="16"/>
    <col width="60" customWidth="1" min="17" max="17"/>
    <col width="40" customWidth="1" min="18" max="18"/>
    <col width="18" customWidth="1" min="19" max="19"/>
    <col width="13" customWidth="1" min="20" max="20"/>
    <col width="36" customWidth="1" min="21" max="21"/>
  </cols>
  <sheetData>
    <row r="1">
      <c r="A1" s="5" t="inlineStr">
        <is>
          <t>ID</t>
        </is>
      </c>
      <c r="B1" s="5" t="inlineStr">
        <is>
          <t>Category</t>
        </is>
      </c>
      <c r="C1" s="5" t="inlineStr">
        <is>
          <t>Platform</t>
        </is>
      </c>
      <c r="D1" s="5" t="inlineStr">
        <is>
          <t>Template or message</t>
        </is>
      </c>
      <c r="E1" s="5" t="inlineStr">
        <is>
          <t>Carrier (flow or module)</t>
        </is>
      </c>
      <c r="F1" s="5" t="inlineStr">
        <is>
          <t>Flow ID</t>
        </is>
      </c>
      <c r="G1" s="5" t="inlineStr">
        <is>
          <t>Step or source</t>
        </is>
      </c>
      <c r="H1" s="5" t="inlineStr">
        <is>
          <t>Requirement</t>
        </is>
      </c>
      <c r="I1" s="5" t="inlineStr">
        <is>
          <t>Audience</t>
        </is>
      </c>
      <c r="J1" s="5" t="inlineStr">
        <is>
          <t>Recipient</t>
        </is>
      </c>
      <c r="K1" s="5" t="inlineStr">
        <is>
          <t>Template source</t>
        </is>
      </c>
      <c r="L1" s="5" t="inlineStr">
        <is>
          <t>In catalogue</t>
        </is>
      </c>
      <c r="M1" s="5" t="inlineStr">
        <is>
          <t>Brand set (2026-10-18)</t>
        </is>
      </c>
      <c r="N1" s="5" t="inlineStr">
        <is>
          <t>Brand check (d1a8bd0)</t>
        </is>
      </c>
      <c r="O1" s="5" t="inlineStr">
        <is>
          <t>Live state (2026-10-19 02:32)</t>
        </is>
      </c>
      <c r="P1" s="5" t="inlineStr">
        <is>
          <t>Status</t>
        </is>
      </c>
      <c r="Q1" s="5" t="inlineStr">
        <is>
          <t>Finding or issue</t>
        </is>
      </c>
      <c r="R1" s="5" t="inlineStr">
        <is>
          <t>Proposed action</t>
        </is>
      </c>
      <c r="S1" s="5" t="inlineStr">
        <is>
          <t>Owner</t>
        </is>
      </c>
      <c r="T1" s="5" t="inlineStr">
        <is>
          <t>Target date</t>
        </is>
      </c>
      <c r="U1" s="5" t="inlineStr">
        <is>
          <t>Decision / notes</t>
        </is>
      </c>
    </row>
    <row r="2">
      <c r="A2" s="6" t="inlineStr">
        <is>
          <t>TR-082</t>
        </is>
      </c>
      <c r="B2" s="6" t="inlineStr">
        <is>
          <t>Client e-mail · correspondence</t>
        </is>
      </c>
      <c r="C2" s="6" t="inlineStr">
        <is>
          <t>Folio Workspace</t>
        </is>
      </c>
      <c r="D2" s="6" t="inlineStr">
        <is>
          <t>official-correspondence — Official Correspondence</t>
        </is>
      </c>
      <c r="E2" s="6" t="inlineStr">
        <is>
          <t>core/correspondence-email-service.js → EMAIL (IP_SEND_EMAIL)</t>
        </is>
      </c>
      <c r="F2" s="6" t="inlineStr">
        <is>
          <t>df59a69f-92ca-4554-ae68-6b464aa73ef7</t>
        </is>
      </c>
      <c r="G2" s="6" t="inlineStr">
        <is>
          <t>template "official-correspondence" (subject {{referenceId}} — {{subject}})</t>
        </is>
      </c>
      <c r="H2" s="6" t="inlineStr">
        <is>
          <t>RN-021, RN-022</t>
        </is>
      </c>
      <c r="I2" s="6" t="inlineStr">
        <is>
          <t>correspondent (external)</t>
        </is>
      </c>
      <c r="J2" s="6" t="inlineStr">
        <is>
          <t>entered by the officer</t>
        </is>
      </c>
      <c r="K2" s="6" t="inlineStr">
        <is>
          <t>config/correspondence-email-templates.config.js; docs/reference/correspondence-email-templates/html/official-correspondence.html</t>
        </is>
      </c>
      <c r="L2" s="6" t="inlineStr">
        <is>
          <t>No</t>
        </is>
      </c>
      <c r="M2" s="6" t="inlineStr">
        <is>
          <t>No</t>
        </is>
      </c>
      <c r="N2" s="6" t="inlineStr">
        <is>
          <t>Palette and NITDA alone held by test:brand; type and layout unchecked</t>
        </is>
      </c>
      <c r="O2" s="6" t="inlineStr">
        <is>
          <t>Client code; frame live</t>
        </is>
      </c>
      <c r="P2" s="7" t="inlineStr">
        <is>
          <t>GAP</t>
        </is>
      </c>
      <c r="Q2" s="6" t="inlineStr">
        <is>
          <t>F1: a complete document wrapped again by the IP_SEND_EMAIL frame: "Dear Sir/Madam," plus its own greeting, two headers, labelled "Official correspondence". F4: fails the catalogue checks: no language tag, no preview text, 760 px (limit 640), no presentational tables, no logo, Arial as the main face, box-shadow. Colours are on the palette and the letter carries NITDA alone (test:brand).</t>
        </is>
      </c>
      <c r="R2" s="6" t="inlineStr">
        <is>
          <t>Rebuild on the brand set as a fragment; run the catalogue checks on it.</t>
        </is>
      </c>
      <c r="S2" s="8" t="n"/>
      <c r="T2" s="9" t="n"/>
      <c r="U2" s="8" t="n"/>
    </row>
    <row r="3">
      <c r="A3" s="6" t="inlineStr">
        <is>
          <t>TR-083</t>
        </is>
      </c>
      <c r="B3" s="6" t="inlineStr">
        <is>
          <t>Client e-mail · correspondence</t>
        </is>
      </c>
      <c r="C3" s="6" t="inlineStr">
        <is>
          <t>Folio Workspace</t>
        </is>
      </c>
      <c r="D3" s="6" t="inlineStr">
        <is>
          <t>request-for-information — Request for Information / Documents</t>
        </is>
      </c>
      <c r="E3" s="6" t="inlineStr">
        <is>
          <t>core/correspondence-email-service.js → EMAIL (IP_SEND_EMAIL)</t>
        </is>
      </c>
      <c r="F3" s="6" t="inlineStr">
        <is>
          <t>df59a69f-92ca-4554-ae68-6b464aa73ef7</t>
        </is>
      </c>
      <c r="G3" s="6" t="inlineStr">
        <is>
          <t>template "request-for-information" (subject Request for Information — {{referenceId}})</t>
        </is>
      </c>
      <c r="H3" s="6" t="inlineStr">
        <is>
          <t>RN-021, RN-022</t>
        </is>
      </c>
      <c r="I3" s="6" t="inlineStr">
        <is>
          <t>correspondent (external)</t>
        </is>
      </c>
      <c r="J3" s="6" t="inlineStr">
        <is>
          <t>entered by the officer</t>
        </is>
      </c>
      <c r="K3" s="6" t="inlineStr">
        <is>
          <t>config/correspondence-email-templates.config.js; docs/reference/correspondence-email-templates/html/request-for-information.html</t>
        </is>
      </c>
      <c r="L3" s="6" t="inlineStr">
        <is>
          <t>No</t>
        </is>
      </c>
      <c r="M3" s="6" t="inlineStr">
        <is>
          <t>No</t>
        </is>
      </c>
      <c r="N3" s="6" t="inlineStr">
        <is>
          <t>Palette and NITDA alone held by test:brand; type and layout unchecked</t>
        </is>
      </c>
      <c r="O3" s="6" t="inlineStr">
        <is>
          <t>Client code; frame live</t>
        </is>
      </c>
      <c r="P3" s="7" t="inlineStr">
        <is>
          <t>GAP</t>
        </is>
      </c>
      <c r="Q3" s="6" t="inlineStr">
        <is>
          <t>F1: a complete document wrapped again by the IP_SEND_EMAIL frame: "Dear Sir/Madam," plus its own greeting, two headers, labelled "Official correspondence". F4: fails the catalogue checks: no language tag, no preview text, 760 px (limit 640), no presentational tables, no logo, Arial as the main face, box-shadow. Colours are on the palette and the letter carries NITDA alone (test:brand).</t>
        </is>
      </c>
      <c r="R3" s="6" t="inlineStr">
        <is>
          <t>Rebuild on the brand set as a fragment; run the catalogue checks on it.</t>
        </is>
      </c>
      <c r="S3" s="8" t="n"/>
      <c r="T3" s="9" t="n"/>
      <c r="U3" s="8" t="n"/>
    </row>
    <row r="4">
      <c r="A4" s="6" t="inlineStr">
        <is>
          <t>TR-084</t>
        </is>
      </c>
      <c r="B4" s="6" t="inlineStr">
        <is>
          <t>Client e-mail · correspondence</t>
        </is>
      </c>
      <c r="C4" s="6" t="inlineStr">
        <is>
          <t>Folio Workspace</t>
        </is>
      </c>
      <c r="D4" s="6" t="inlineStr">
        <is>
          <t>document-transmittal — Document Transmittal</t>
        </is>
      </c>
      <c r="E4" s="6" t="inlineStr">
        <is>
          <t>core/correspondence-email-service.js → EMAIL (IP_SEND_EMAIL)</t>
        </is>
      </c>
      <c r="F4" s="6" t="inlineStr">
        <is>
          <t>df59a69f-92ca-4554-ae68-6b464aa73ef7</t>
        </is>
      </c>
      <c r="G4" s="6" t="inlineStr">
        <is>
          <t>template "document-transmittal" (subject Transmittal — {{referenceId}} — {{subject}})</t>
        </is>
      </c>
      <c r="H4" s="6" t="inlineStr">
        <is>
          <t>RN-021, RN-022</t>
        </is>
      </c>
      <c r="I4" s="6" t="inlineStr">
        <is>
          <t>correspondent (external)</t>
        </is>
      </c>
      <c r="J4" s="6" t="inlineStr">
        <is>
          <t>entered by the officer</t>
        </is>
      </c>
      <c r="K4" s="6" t="inlineStr">
        <is>
          <t>config/correspondence-email-templates.config.js; docs/reference/correspondence-email-templates/html/document-transmittal.html</t>
        </is>
      </c>
      <c r="L4" s="6" t="inlineStr">
        <is>
          <t>No</t>
        </is>
      </c>
      <c r="M4" s="6" t="inlineStr">
        <is>
          <t>No</t>
        </is>
      </c>
      <c r="N4" s="6" t="inlineStr">
        <is>
          <t>Palette and NITDA alone held by test:brand; type and layout unchecked</t>
        </is>
      </c>
      <c r="O4" s="6" t="inlineStr">
        <is>
          <t>Client code; frame live</t>
        </is>
      </c>
      <c r="P4" s="7" t="inlineStr">
        <is>
          <t>GAP</t>
        </is>
      </c>
      <c r="Q4" s="6" t="inlineStr">
        <is>
          <t>F1: a complete document wrapped again by the IP_SEND_EMAIL frame: "Dear Sir/Madam," plus its own greeting, two headers, labelled "Official correspondence". F4: fails the catalogue checks: no language tag, no preview text, 760 px (limit 640), no presentational tables, no logo, Arial as the main face, box-shadow. Colours are on the palette and the letter carries NITDA alone (test:brand).</t>
        </is>
      </c>
      <c r="R4" s="6" t="inlineStr">
        <is>
          <t>Rebuild on the brand set as a fragment; run the catalogue checks on it.</t>
        </is>
      </c>
      <c r="S4" s="8" t="n"/>
      <c r="T4" s="9" t="n"/>
      <c r="U4" s="8" t="n"/>
    </row>
    <row r="5">
      <c r="A5" s="6" t="inlineStr">
        <is>
          <t>TR-085</t>
        </is>
      </c>
      <c r="B5" s="6" t="inlineStr">
        <is>
          <t>Client e-mail · correspondence</t>
        </is>
      </c>
      <c r="C5" s="6" t="inlineStr">
        <is>
          <t>Folio Workspace</t>
        </is>
      </c>
      <c r="D5" s="6" t="inlineStr">
        <is>
          <t>meeting-invitation — Meeting / Engagement Invitation</t>
        </is>
      </c>
      <c r="E5" s="6" t="inlineStr">
        <is>
          <t>core/correspondence-email-service.js → EMAIL (IP_SEND_EMAIL)</t>
        </is>
      </c>
      <c r="F5" s="6" t="inlineStr">
        <is>
          <t>df59a69f-92ca-4554-ae68-6b464aa73ef7</t>
        </is>
      </c>
      <c r="G5" s="6" t="inlineStr">
        <is>
          <t>template "meeting-invitation" (subject Invitation — {{subject}} — {{referenceId}})</t>
        </is>
      </c>
      <c r="H5" s="6" t="inlineStr">
        <is>
          <t>RN-021, RN-022</t>
        </is>
      </c>
      <c r="I5" s="6" t="inlineStr">
        <is>
          <t>correspondent (external)</t>
        </is>
      </c>
      <c r="J5" s="6" t="inlineStr">
        <is>
          <t>entered by the officer</t>
        </is>
      </c>
      <c r="K5" s="6" t="inlineStr">
        <is>
          <t>config/correspondence-email-templates.config.js; docs/reference/correspondence-email-templates/html/meeting-invitation.html</t>
        </is>
      </c>
      <c r="L5" s="6" t="inlineStr">
        <is>
          <t>No</t>
        </is>
      </c>
      <c r="M5" s="6" t="inlineStr">
        <is>
          <t>No</t>
        </is>
      </c>
      <c r="N5" s="6" t="inlineStr">
        <is>
          <t>Palette and NITDA alone held by test:brand; type and layout unchecked</t>
        </is>
      </c>
      <c r="O5" s="6" t="inlineStr">
        <is>
          <t>Client code; frame live</t>
        </is>
      </c>
      <c r="P5" s="7" t="inlineStr">
        <is>
          <t>GAP</t>
        </is>
      </c>
      <c r="Q5" s="6" t="inlineStr">
        <is>
          <t>F1: a complete document wrapped again by the IP_SEND_EMAIL frame: "Dear Sir/Madam," plus its own greeting, two headers, labelled "Official correspondence". F4: fails the catalogue checks: no language tag, no preview text, 760 px (limit 640), no presentational tables, no logo, Arial as the main face, box-shadow. Colours are on the palette and the letter carries NITDA alone (test:brand).</t>
        </is>
      </c>
      <c r="R5" s="6" t="inlineStr">
        <is>
          <t>Rebuild on the brand set as a fragment; run the catalogue checks on it.</t>
        </is>
      </c>
      <c r="S5" s="8" t="n"/>
      <c r="T5" s="9" t="n"/>
      <c r="U5" s="8" t="n"/>
    </row>
    <row r="6">
      <c r="A6" s="6" t="inlineStr">
        <is>
          <t>TR-086</t>
        </is>
      </c>
      <c r="B6" s="6" t="inlineStr">
        <is>
          <t>Client e-mail · correspondence</t>
        </is>
      </c>
      <c r="C6" s="6" t="inlineStr">
        <is>
          <t>Folio Workspace</t>
        </is>
      </c>
      <c r="D6" s="6" t="inlineStr">
        <is>
          <t>circular-notice — Circular / General Notice</t>
        </is>
      </c>
      <c r="E6" s="6" t="inlineStr">
        <is>
          <t>core/correspondence-email-service.js → EMAIL (IP_SEND_EMAIL)</t>
        </is>
      </c>
      <c r="F6" s="6" t="inlineStr">
        <is>
          <t>df59a69f-92ca-4554-ae68-6b464aa73ef7</t>
        </is>
      </c>
      <c r="G6" s="6" t="inlineStr">
        <is>
          <t>template "circular-notice" (subject Circular / Notice — {{subject}})</t>
        </is>
      </c>
      <c r="H6" s="6" t="inlineStr">
        <is>
          <t>RN-021, RN-022</t>
        </is>
      </c>
      <c r="I6" s="6" t="inlineStr">
        <is>
          <t>correspondent (external)</t>
        </is>
      </c>
      <c r="J6" s="6" t="inlineStr">
        <is>
          <t>entered by the officer</t>
        </is>
      </c>
      <c r="K6" s="6" t="inlineStr">
        <is>
          <t>config/correspondence-email-templates.config.js; docs/reference/correspondence-email-templates/html/circular-notice.html</t>
        </is>
      </c>
      <c r="L6" s="6" t="inlineStr">
        <is>
          <t>No</t>
        </is>
      </c>
      <c r="M6" s="6" t="inlineStr">
        <is>
          <t>No</t>
        </is>
      </c>
      <c r="N6" s="6" t="inlineStr">
        <is>
          <t>Palette and NITDA alone held by test:brand; type and layout unchecked</t>
        </is>
      </c>
      <c r="O6" s="6" t="inlineStr">
        <is>
          <t>Client code; frame live</t>
        </is>
      </c>
      <c r="P6" s="7" t="inlineStr">
        <is>
          <t>GAP</t>
        </is>
      </c>
      <c r="Q6" s="6" t="inlineStr">
        <is>
          <t>F1: a complete document wrapped again by the IP_SEND_EMAIL frame: "Dear Sir/Madam," plus its own greeting, two headers, labelled "Official correspondence". F4: fails the catalogue checks: no language tag, no preview text, 760 px (limit 640), no presentational tables, no logo, Arial as the main face, box-shadow. Colours are on the palette and the letter carries NITDA alone (test:brand).</t>
        </is>
      </c>
      <c r="R6" s="6" t="inlineStr">
        <is>
          <t>Rebuild on the brand set as a fragment; run the catalogue checks on it.</t>
        </is>
      </c>
      <c r="S6" s="8" t="n"/>
      <c r="T6" s="9" t="n"/>
      <c r="U6" s="8" t="n"/>
    </row>
    <row r="7">
      <c r="A7" s="6" t="inlineStr">
        <is>
          <t>TR-087</t>
        </is>
      </c>
      <c r="B7" s="6" t="inlineStr">
        <is>
          <t>Client e-mail · correspondence</t>
        </is>
      </c>
      <c r="C7" s="6" t="inlineStr">
        <is>
          <t>Folio Workspace</t>
        </is>
      </c>
      <c r="D7" s="6" t="inlineStr">
        <is>
          <t>closure-response — Closure / Final Response</t>
        </is>
      </c>
      <c r="E7" s="6" t="inlineStr">
        <is>
          <t>core/correspondence-email-service.js → EMAIL (IP_SEND_EMAIL)</t>
        </is>
      </c>
      <c r="F7" s="6" t="inlineStr">
        <is>
          <t>df59a69f-92ca-4554-ae68-6b464aa73ef7</t>
        </is>
      </c>
      <c r="G7" s="6" t="inlineStr">
        <is>
          <t>template "closure-response" (subject Final Response — {{referenceId}})</t>
        </is>
      </c>
      <c r="H7" s="6" t="inlineStr">
        <is>
          <t>RN-021, RN-022</t>
        </is>
      </c>
      <c r="I7" s="6" t="inlineStr">
        <is>
          <t>correspondent (external)</t>
        </is>
      </c>
      <c r="J7" s="6" t="inlineStr">
        <is>
          <t>entered by the officer</t>
        </is>
      </c>
      <c r="K7" s="6" t="inlineStr">
        <is>
          <t>config/correspondence-email-templates.config.js; docs/reference/correspondence-email-templates/html/closure-response.html</t>
        </is>
      </c>
      <c r="L7" s="6" t="inlineStr">
        <is>
          <t>No</t>
        </is>
      </c>
      <c r="M7" s="6" t="inlineStr">
        <is>
          <t>No</t>
        </is>
      </c>
      <c r="N7" s="6" t="inlineStr">
        <is>
          <t>Palette and NITDA alone held by test:brand; type and layout unchecked</t>
        </is>
      </c>
      <c r="O7" s="6" t="inlineStr">
        <is>
          <t>Client code; frame live</t>
        </is>
      </c>
      <c r="P7" s="7" t="inlineStr">
        <is>
          <t>GAP</t>
        </is>
      </c>
      <c r="Q7" s="6" t="inlineStr">
        <is>
          <t>F1: a complete document wrapped again by the IP_SEND_EMAIL frame: "Dear Sir/Madam," plus its own greeting, two headers, labelled "Official correspondence". F4: fails the catalogue checks: no language tag, no preview text, 760 px (limit 640), no presentational tables, no logo, Arial as the main face, box-shadow. Colours are on the palette and the letter carries NITDA alone (test:brand).</t>
        </is>
      </c>
      <c r="R7" s="6" t="inlineStr">
        <is>
          <t>Rebuild on the brand set as a fragment; run the catalogue checks on it.</t>
        </is>
      </c>
      <c r="S7" s="8" t="n"/>
      <c r="T7" s="9" t="n"/>
      <c r="U7" s="8" t="n"/>
    </row>
    <row r="8">
      <c r="A8" s="6" t="inlineStr">
        <is>
          <t>TR-089</t>
        </is>
      </c>
      <c r="B8" s="6" t="inlineStr">
        <is>
          <t>Client e-mail · report</t>
        </is>
      </c>
      <c r="C8" s="6" t="inlineStr">
        <is>
          <t>Folio Workspace</t>
        </is>
      </c>
      <c r="D8" s="6" t="inlineStr">
        <is>
          <t>Management report email</t>
        </is>
      </c>
      <c r="E8" s="6" t="inlineStr">
        <is>
          <t>modules/reports.js → EMAIL (IP_SEND_EMAIL)</t>
        </is>
      </c>
      <c r="F8" s="6" t="inlineStr">
        <is>
          <t>df59a69f-92ca-4554-ae68-6b464aa73ef7</t>
        </is>
      </c>
      <c r="G8" s="6" t="inlineStr">
        <is>
          <t>modules/reports.js (reportHtml)</t>
        </is>
      </c>
      <c r="H8" s="6" t="inlineStr">
        <is>
          <t>RN-024</t>
        </is>
      </c>
      <c r="I8" s="6" t="inlineStr">
        <is>
          <t>originator / chosen recipients</t>
        </is>
      </c>
      <c r="J8" s="6" t="n"/>
      <c r="K8" s="6" t="inlineStr">
        <is>
          <t>inline in modules/reports.js</t>
        </is>
      </c>
      <c r="L8" s="6" t="inlineStr">
        <is>
          <t>No</t>
        </is>
      </c>
      <c r="M8" s="6" t="inlineStr">
        <is>
          <t>No</t>
        </is>
      </c>
      <c r="N8" s="6" t="inlineStr">
        <is>
          <t>Not covered by any brand check</t>
        </is>
      </c>
      <c r="O8" s="6" t="inlineStr">
        <is>
          <t>Client code; frame live</t>
        </is>
      </c>
      <c r="P8" s="7" t="inlineStr">
        <is>
          <t>GAP</t>
        </is>
      </c>
      <c r="Q8" s="6" t="inlineStr">
        <is>
          <t>F1: a complete document wrapped again by the IP_SEND_EMAIL frame: "Dear Sir/Madam," plus its own greeting, two headers, labelled "Official correspondence". F4: no template; a bare &lt;h1&gt; page built in code, with no inline styling: its tables rely on Workspace CSS classes that do not travel with the e-mail.</t>
        </is>
      </c>
      <c r="R8" s="6" t="inlineStr">
        <is>
          <t>Give it a template and send a fragment.</t>
        </is>
      </c>
      <c r="S8" s="8" t="n"/>
      <c r="T8" s="9" t="n"/>
      <c r="U8" s="8" t="n"/>
    </row>
    <row r="9">
      <c r="A9" s="6" t="inlineStr">
        <is>
          <t>TR-090</t>
        </is>
      </c>
      <c r="B9" s="6" t="inlineStr">
        <is>
          <t>Client e-mail · report</t>
        </is>
      </c>
      <c r="C9" s="6" t="inlineStr">
        <is>
          <t>Folio Workspace</t>
        </is>
      </c>
      <c r="D9" s="6" t="inlineStr">
        <is>
          <t>Statistics report email</t>
        </is>
      </c>
      <c r="E9" s="6" t="inlineStr">
        <is>
          <t>modules/statistics.js → EMAIL (IP_SEND_EMAIL)</t>
        </is>
      </c>
      <c r="F9" s="6" t="inlineStr">
        <is>
          <t>df59a69f-92ca-4554-ae68-6b464aa73ef7</t>
        </is>
      </c>
      <c r="G9" s="6" t="inlineStr">
        <is>
          <t>modules/statistics.js (htmlDoc)</t>
        </is>
      </c>
      <c r="H9" s="6" t="inlineStr">
        <is>
          <t>RN-024</t>
        </is>
      </c>
      <c r="I9" s="6" t="inlineStr">
        <is>
          <t>originator / chosen recipients</t>
        </is>
      </c>
      <c r="J9" s="6" t="n"/>
      <c r="K9" s="6" t="inlineStr">
        <is>
          <t>inline in modules/statistics.js</t>
        </is>
      </c>
      <c r="L9" s="6" t="inlineStr">
        <is>
          <t>No</t>
        </is>
      </c>
      <c r="M9" s="6" t="inlineStr">
        <is>
          <t>No</t>
        </is>
      </c>
      <c r="N9" s="6" t="inlineStr">
        <is>
          <t>Not covered by any brand check</t>
        </is>
      </c>
      <c r="O9" s="6" t="inlineStr">
        <is>
          <t>Client code; frame live</t>
        </is>
      </c>
      <c r="P9" s="7" t="inlineStr">
        <is>
          <t>GAP</t>
        </is>
      </c>
      <c r="Q9" s="6" t="inlineStr">
        <is>
          <t>F1: a complete document wrapped again by the IP_SEND_EMAIL frame: "Dear Sir/Madam," plus its own greeting, two headers, labelled "Official correspondence". F4: no template; a bare &lt;h1&gt; page built in code, with no inline styling: its tables rely on Workspace CSS classes that do not travel with the e-mail.</t>
        </is>
      </c>
      <c r="R9" s="6" t="inlineStr">
        <is>
          <t>Give it a template and send a fragment.</t>
        </is>
      </c>
      <c r="S9" s="8" t="n"/>
      <c r="T9" s="9" t="n"/>
      <c r="U9" s="8" t="n"/>
    </row>
    <row r="10">
      <c r="A10" s="6" t="inlineStr">
        <is>
          <t>TR-074</t>
        </is>
      </c>
      <c r="B10" s="6" t="inlineStr">
        <is>
          <t>Client e-mail · staff notice</t>
        </is>
      </c>
      <c r="C10" s="6" t="inlineStr">
        <is>
          <t>Folio Workspace</t>
        </is>
      </c>
      <c r="D10" s="6" t="inlineStr">
        <is>
          <t>ack-reminder — Reminder: please acknowledge {{referenceId}} — {{title}}</t>
        </is>
      </c>
      <c r="E10" s="6" t="inlineStr">
        <is>
          <t>core/staff-notice-service.js → EMAIL (IP_SEND_EMAIL)</t>
        </is>
      </c>
      <c r="F10" s="6" t="inlineStr">
        <is>
          <t>df59a69f-92ca-4554-ae68-6b464aa73ef7</t>
        </is>
      </c>
      <c r="G10" s="6" t="inlineStr">
        <is>
          <t>StaffNoticeTemplates["RN-012"]</t>
        </is>
      </c>
      <c r="H10" s="6" t="inlineStr">
        <is>
          <t>RN-012</t>
        </is>
      </c>
      <c r="I10" s="6" t="inlineStr">
        <is>
          <t>assignee</t>
        </is>
      </c>
      <c r="J10" s="6" t="inlineStr">
        <is>
          <t>resolved from the record (registry hold until StaffNoticeDelivery.recipients = staff)</t>
        </is>
      </c>
      <c r="K10" s="6" t="inlineStr">
        <is>
          <t>config/staff-notice-templates.config.js</t>
        </is>
      </c>
      <c r="L10" s="6" t="inlineStr">
        <is>
          <t>No</t>
        </is>
      </c>
      <c r="M10" s="6" t="inlineStr">
        <is>
          <t>No (text header, no logo, no DGO mark)</t>
        </is>
      </c>
      <c r="N10" s="6" t="inlineStr">
        <is>
          <t>Palette held by tests/staff-notice.test.mjs; layout and logo unchecked</t>
        </is>
      </c>
      <c r="O10" s="6" t="inlineStr">
        <is>
          <t>Client code; frame live</t>
        </is>
      </c>
      <c r="P10" s="7" t="inlineStr">
        <is>
          <t>GAP</t>
        </is>
      </c>
      <c r="Q10" s="6" t="inlineStr">
        <is>
          <t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R10" s="6" t="inlineStr">
        <is>
          <t>Render a body fragment for the frame; add to the brand review.</t>
        </is>
      </c>
      <c r="S10" s="8" t="n"/>
      <c r="T10" s="9" t="n"/>
      <c r="U10" s="8" t="n"/>
    </row>
    <row r="11">
      <c r="A11" s="6" t="inlineStr">
        <is>
          <t>TR-075</t>
        </is>
      </c>
      <c r="B11" s="6" t="inlineStr">
        <is>
          <t>Client e-mail · staff notice</t>
        </is>
      </c>
      <c r="C11" s="6" t="inlineStr">
        <is>
          <t>Folio Workspace</t>
        </is>
      </c>
      <c r="D11" s="6" t="inlineStr">
        <is>
          <t>owner-notice — FastTrack notice: {{referenceId}} — {{title}}</t>
        </is>
      </c>
      <c r="E11" s="6" t="inlineStr">
        <is>
          <t>core/staff-notice-service.js → EMAIL (IP_SEND_EMAIL)</t>
        </is>
      </c>
      <c r="F11" s="6" t="inlineStr">
        <is>
          <t>df59a69f-92ca-4554-ae68-6b464aa73ef7</t>
        </is>
      </c>
      <c r="G11" s="6" t="inlineStr">
        <is>
          <t>StaffNoticeTemplates["RN-015"]</t>
        </is>
      </c>
      <c r="H11" s="6" t="inlineStr">
        <is>
          <t>RN-015</t>
        </is>
      </c>
      <c r="I11" s="6" t="inlineStr">
        <is>
          <t>owner</t>
        </is>
      </c>
      <c r="J11" s="6" t="inlineStr">
        <is>
          <t>resolved from the record (registry hold until StaffNoticeDelivery.recipients = staff)</t>
        </is>
      </c>
      <c r="K11" s="6" t="inlineStr">
        <is>
          <t>config/staff-notice-templates.config.js</t>
        </is>
      </c>
      <c r="L11" s="6" t="inlineStr">
        <is>
          <t>No</t>
        </is>
      </c>
      <c r="M11" s="6" t="inlineStr">
        <is>
          <t>No (text header, no logo, no DGO mark)</t>
        </is>
      </c>
      <c r="N11" s="6" t="inlineStr">
        <is>
          <t>Palette held by tests/staff-notice.test.mjs; layout and logo unchecked</t>
        </is>
      </c>
      <c r="O11" s="6" t="inlineStr">
        <is>
          <t>Client code; frame live</t>
        </is>
      </c>
      <c r="P11" s="7" t="inlineStr">
        <is>
          <t>GAP</t>
        </is>
      </c>
      <c r="Q11" s="6" t="inlineStr">
        <is>
          <t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R11" s="6" t="inlineStr">
        <is>
          <t>Render a body fragment for the frame; add to the brand review.</t>
        </is>
      </c>
      <c r="S11" s="8" t="n"/>
      <c r="T11" s="9" t="n"/>
      <c r="U11" s="8" t="n"/>
    </row>
    <row r="12">
      <c r="A12" s="6" t="inlineStr">
        <is>
          <t>TR-076</t>
        </is>
      </c>
      <c r="B12" s="6" t="inlineStr">
        <is>
          <t>Client e-mail · staff notice</t>
        </is>
      </c>
      <c r="C12" s="6" t="inlineStr">
        <is>
          <t>Folio Workspace</t>
        </is>
      </c>
      <c r="D12" s="6" t="inlineStr">
        <is>
          <t>approval-request — Approval requested: {{referenceId}} — {{title}}</t>
        </is>
      </c>
      <c r="E12" s="6" t="inlineStr">
        <is>
          <t>core/staff-notice-service.js → EMAIL (IP_SEND_EMAIL)</t>
        </is>
      </c>
      <c r="F12" s="6" t="inlineStr">
        <is>
          <t>df59a69f-92ca-4554-ae68-6b464aa73ef7</t>
        </is>
      </c>
      <c r="G12" s="6" t="inlineStr">
        <is>
          <t>StaffNoticeTemplates["RN-017"]</t>
        </is>
      </c>
      <c r="H12" s="6" t="inlineStr">
        <is>
          <t>RN-017</t>
        </is>
      </c>
      <c r="I12" s="6" t="inlineStr">
        <is>
          <t>approver</t>
        </is>
      </c>
      <c r="J12" s="6" t="inlineStr">
        <is>
          <t>resolved from the record (registry hold until StaffNoticeDelivery.recipients = staff)</t>
        </is>
      </c>
      <c r="K12" s="6" t="inlineStr">
        <is>
          <t>config/staff-notice-templates.config.js</t>
        </is>
      </c>
      <c r="L12" s="6" t="inlineStr">
        <is>
          <t>No</t>
        </is>
      </c>
      <c r="M12" s="6" t="inlineStr">
        <is>
          <t>No (text header, no logo, no DGO mark)</t>
        </is>
      </c>
      <c r="N12" s="6" t="inlineStr">
        <is>
          <t>Palette held by tests/staff-notice.test.mjs; layout and logo unchecked</t>
        </is>
      </c>
      <c r="O12" s="6" t="inlineStr">
        <is>
          <t>Client code; frame live</t>
        </is>
      </c>
      <c r="P12" s="7" t="inlineStr">
        <is>
          <t>GAP</t>
        </is>
      </c>
      <c r="Q12" s="6" t="inlineStr">
        <is>
          <t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R12" s="6" t="inlineStr">
        <is>
          <t>Render a body fragment for the frame; add to the brand review.</t>
        </is>
      </c>
      <c r="S12" s="8" t="n"/>
      <c r="T12" s="9" t="n"/>
      <c r="U12" s="8" t="n"/>
    </row>
    <row r="13">
      <c r="A13" s="6" t="inlineStr">
        <is>
          <t>TR-077</t>
        </is>
      </c>
      <c r="B13" s="6" t="inlineStr">
        <is>
          <t>Client e-mail · staff notice</t>
        </is>
      </c>
      <c r="C13" s="6" t="inlineStr">
        <is>
          <t>Folio Workspace</t>
        </is>
      </c>
      <c r="D13" s="6" t="inlineStr">
        <is>
          <t>approval-decision — Decision on {{referenceId}}: {{decision}}</t>
        </is>
      </c>
      <c r="E13" s="6" t="inlineStr">
        <is>
          <t>core/staff-notice-service.js → EMAIL (IP_SEND_EMAIL)</t>
        </is>
      </c>
      <c r="F13" s="6" t="inlineStr">
        <is>
          <t>df59a69f-92ca-4554-ae68-6b464aa73ef7</t>
        </is>
      </c>
      <c r="G13" s="6" t="inlineStr">
        <is>
          <t>StaffNoticeTemplates["RN-018"]</t>
        </is>
      </c>
      <c r="H13" s="6" t="inlineStr">
        <is>
          <t>RN-018</t>
        </is>
      </c>
      <c r="I13" s="6" t="inlineStr">
        <is>
          <t>originator</t>
        </is>
      </c>
      <c r="J13" s="6" t="inlineStr">
        <is>
          <t>resolved from the record (registry hold until StaffNoticeDelivery.recipients = staff)</t>
        </is>
      </c>
      <c r="K13" s="6" t="inlineStr">
        <is>
          <t>config/staff-notice-templates.config.js</t>
        </is>
      </c>
      <c r="L13" s="6" t="inlineStr">
        <is>
          <t>No</t>
        </is>
      </c>
      <c r="M13" s="6" t="inlineStr">
        <is>
          <t>No (text header, no logo, no DGO mark)</t>
        </is>
      </c>
      <c r="N13" s="6" t="inlineStr">
        <is>
          <t>Palette held by tests/staff-notice.test.mjs; layout and logo unchecked</t>
        </is>
      </c>
      <c r="O13" s="6" t="inlineStr">
        <is>
          <t>Client code; frame live</t>
        </is>
      </c>
      <c r="P13" s="7" t="inlineStr">
        <is>
          <t>GAP</t>
        </is>
      </c>
      <c r="Q13" s="6" t="inlineStr">
        <is>
          <t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R13" s="6" t="inlineStr">
        <is>
          <t>Render a body fragment for the frame; add to the brand review.</t>
        </is>
      </c>
      <c r="S13" s="8" t="n"/>
      <c r="T13" s="9" t="n"/>
      <c r="U13" s="8" t="n"/>
    </row>
    <row r="14">
      <c r="A14" s="6" t="inlineStr">
        <is>
          <t>TR-078</t>
        </is>
      </c>
      <c r="B14" s="6" t="inlineStr">
        <is>
          <t>Client e-mail · staff notice</t>
        </is>
      </c>
      <c r="C14" s="6" t="inlineStr">
        <is>
          <t>Folio Workspace</t>
        </is>
      </c>
      <c r="D14" s="6" t="inlineStr">
        <is>
          <t>reassignment — Reassigned to you: {{referenceId}} — {{title}}</t>
        </is>
      </c>
      <c r="E14" s="6" t="inlineStr">
        <is>
          <t>core/staff-notice-service.js → EMAIL (IP_SEND_EMAIL)</t>
        </is>
      </c>
      <c r="F14" s="6" t="inlineStr">
        <is>
          <t>df59a69f-92ca-4554-ae68-6b464aa73ef7</t>
        </is>
      </c>
      <c r="G14" s="6" t="inlineStr">
        <is>
          <t>StaffNoticeTemplates["RN-019"]</t>
        </is>
      </c>
      <c r="H14" s="6" t="inlineStr">
        <is>
          <t>RN-019</t>
        </is>
      </c>
      <c r="I14" s="6" t="inlineStr">
        <is>
          <t>assignee</t>
        </is>
      </c>
      <c r="J14" s="6" t="inlineStr">
        <is>
          <t>resolved from the record (registry hold until StaffNoticeDelivery.recipients = staff)</t>
        </is>
      </c>
      <c r="K14" s="6" t="inlineStr">
        <is>
          <t>config/staff-notice-templates.config.js</t>
        </is>
      </c>
      <c r="L14" s="6" t="inlineStr">
        <is>
          <t>No</t>
        </is>
      </c>
      <c r="M14" s="6" t="inlineStr">
        <is>
          <t>No (text header, no logo, no DGO mark)</t>
        </is>
      </c>
      <c r="N14" s="6" t="inlineStr">
        <is>
          <t>Palette held by tests/staff-notice.test.mjs; layout and logo unchecked</t>
        </is>
      </c>
      <c r="O14" s="6" t="inlineStr">
        <is>
          <t>Client code; frame live</t>
        </is>
      </c>
      <c r="P14" s="7" t="inlineStr">
        <is>
          <t>GAP</t>
        </is>
      </c>
      <c r="Q14" s="6" t="inlineStr">
        <is>
          <t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R14" s="6" t="inlineStr">
        <is>
          <t>Render a body fragment for the frame; add to the brand review.</t>
        </is>
      </c>
      <c r="S14" s="8" t="n"/>
      <c r="T14" s="9" t="n"/>
      <c r="U14" s="8" t="n"/>
    </row>
    <row r="15">
      <c r="A15" s="6" t="inlineStr">
        <is>
          <t>TR-079</t>
        </is>
      </c>
      <c r="B15" s="6" t="inlineStr">
        <is>
          <t>Client e-mail · staff notice</t>
        </is>
      </c>
      <c r="C15" s="6" t="inlineStr">
        <is>
          <t>Folio Workspace</t>
        </is>
      </c>
      <c r="D15" s="6" t="inlineStr">
        <is>
          <t>comment — New comment on {{referenceId}} — {{title}}</t>
        </is>
      </c>
      <c r="E15" s="6" t="inlineStr">
        <is>
          <t>core/staff-notice-service.js → EMAIL (IP_SEND_EMAIL)</t>
        </is>
      </c>
      <c r="F15" s="6" t="inlineStr">
        <is>
          <t>df59a69f-92ca-4554-ae68-6b464aa73ef7</t>
        </is>
      </c>
      <c r="G15" s="6" t="inlineStr">
        <is>
          <t>StaffNoticeTemplates["RN-020"]</t>
        </is>
      </c>
      <c r="H15" s="6" t="inlineStr">
        <is>
          <t>RN-020</t>
        </is>
      </c>
      <c r="I15" s="6" t="inlineStr">
        <is>
          <t>assignee</t>
        </is>
      </c>
      <c r="J15" s="6" t="inlineStr">
        <is>
          <t>resolved from the record (registry hold until StaffNoticeDelivery.recipients = staff)</t>
        </is>
      </c>
      <c r="K15" s="6" t="inlineStr">
        <is>
          <t>config/staff-notice-templates.config.js</t>
        </is>
      </c>
      <c r="L15" s="6" t="inlineStr">
        <is>
          <t>No</t>
        </is>
      </c>
      <c r="M15" s="6" t="inlineStr">
        <is>
          <t>No (text header, no logo, no DGO mark)</t>
        </is>
      </c>
      <c r="N15" s="6" t="inlineStr">
        <is>
          <t>Palette held by tests/staff-notice.test.mjs; layout and logo unchecked</t>
        </is>
      </c>
      <c r="O15" s="6" t="inlineStr">
        <is>
          <t>Client code; frame live</t>
        </is>
      </c>
      <c r="P15" s="7" t="inlineStr">
        <is>
          <t>GAP</t>
        </is>
      </c>
      <c r="Q15" s="6" t="inlineStr">
        <is>
          <t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R15" s="6" t="inlineStr">
        <is>
          <t>Render a body fragment for the frame; add to the brand review.</t>
        </is>
      </c>
      <c r="S15" s="8" t="n"/>
      <c r="T15" s="9" t="n"/>
      <c r="U15" s="8" t="n"/>
    </row>
    <row r="16">
      <c r="A16" s="6" t="inlineStr">
        <is>
          <t>TR-080</t>
        </is>
      </c>
      <c r="B16" s="6" t="inlineStr">
        <is>
          <t>Client e-mail · staff notice</t>
        </is>
      </c>
      <c r="C16" s="6" t="inlineStr">
        <is>
          <t>Folio Workspace</t>
        </is>
      </c>
      <c r="D16" s="6" t="inlineStr">
        <is>
          <t>escalation — Escalated (level {{level}}): {{referenceId}} — {{title}}</t>
        </is>
      </c>
      <c r="E16" s="6" t="inlineStr">
        <is>
          <t>core/staff-notice-service.js → EMAIL (IP_SEND_EMAIL)</t>
        </is>
      </c>
      <c r="F16" s="6" t="inlineStr">
        <is>
          <t>df59a69f-92ca-4554-ae68-6b464aa73ef7</t>
        </is>
      </c>
      <c r="G16" s="6" t="inlineStr">
        <is>
          <t>StaffNoticeTemplates["RN-034"]</t>
        </is>
      </c>
      <c r="H16" s="6" t="inlineStr">
        <is>
          <t>RN-034</t>
        </is>
      </c>
      <c r="I16" s="6" t="inlineStr">
        <is>
          <t>owner</t>
        </is>
      </c>
      <c r="J16" s="6" t="inlineStr">
        <is>
          <t>resolved from the record (registry hold until StaffNoticeDelivery.recipients = staff)</t>
        </is>
      </c>
      <c r="K16" s="6" t="inlineStr">
        <is>
          <t>config/staff-notice-templates.config.js</t>
        </is>
      </c>
      <c r="L16" s="6" t="inlineStr">
        <is>
          <t>No</t>
        </is>
      </c>
      <c r="M16" s="6" t="inlineStr">
        <is>
          <t>No (text header, no logo, no DGO mark)</t>
        </is>
      </c>
      <c r="N16" s="6" t="inlineStr">
        <is>
          <t>Palette held by tests/staff-notice.test.mjs; layout and logo unchecked</t>
        </is>
      </c>
      <c r="O16" s="6" t="inlineStr">
        <is>
          <t>Client code; frame live</t>
        </is>
      </c>
      <c r="P16" s="7" t="inlineStr">
        <is>
          <t>GAP</t>
        </is>
      </c>
      <c r="Q16" s="6" t="inlineStr">
        <is>
          <t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R16" s="6" t="inlineStr">
        <is>
          <t>Render a body fragment for the frame; add to the brand review.</t>
        </is>
      </c>
      <c r="S16" s="8" t="n"/>
      <c r="T16" s="9" t="n"/>
      <c r="U16" s="8" t="n"/>
    </row>
    <row r="17">
      <c r="A17" s="6" t="inlineStr">
        <is>
          <t>TR-081</t>
        </is>
      </c>
      <c r="B17" s="6" t="inlineStr">
        <is>
          <t>Client e-mail · staff notice</t>
        </is>
      </c>
      <c r="C17" s="6" t="inlineStr">
        <is>
          <t>Folio Workspace</t>
        </is>
      </c>
      <c r="D17" s="6" t="inlineStr">
        <is>
          <t>delegation — Delegated to you: {{referenceId}} — {{title}}</t>
        </is>
      </c>
      <c r="E17" s="6" t="inlineStr">
        <is>
          <t>core/staff-notice-service.js → EMAIL (IP_SEND_EMAIL)</t>
        </is>
      </c>
      <c r="F17" s="6" t="inlineStr">
        <is>
          <t>df59a69f-92ca-4554-ae68-6b464aa73ef7</t>
        </is>
      </c>
      <c r="G17" s="6" t="inlineStr">
        <is>
          <t>StaffNoticeTemplates["RN-036"]</t>
        </is>
      </c>
      <c r="H17" s="6" t="inlineStr">
        <is>
          <t>RN-036</t>
        </is>
      </c>
      <c r="I17" s="6" t="inlineStr">
        <is>
          <t>assignee</t>
        </is>
      </c>
      <c r="J17" s="6" t="inlineStr">
        <is>
          <t>resolved from the record (registry hold until StaffNoticeDelivery.recipients = staff)</t>
        </is>
      </c>
      <c r="K17" s="6" t="inlineStr">
        <is>
          <t>config/staff-notice-templates.config.js</t>
        </is>
      </c>
      <c r="L17" s="6" t="inlineStr">
        <is>
          <t>No</t>
        </is>
      </c>
      <c r="M17" s="6" t="inlineStr">
        <is>
          <t>No (text header, no logo, no DGO mark)</t>
        </is>
      </c>
      <c r="N17" s="6" t="inlineStr">
        <is>
          <t>Palette held by tests/staff-notice.test.mjs; layout and logo unchecked</t>
        </is>
      </c>
      <c r="O17" s="6" t="inlineStr">
        <is>
          <t>Client code; frame live</t>
        </is>
      </c>
      <c r="P17" s="7" t="inlineStr">
        <is>
          <t>GAP</t>
        </is>
      </c>
      <c r="Q17" s="6" t="inlineStr">
        <is>
          <t>F1: a complete document wrapped again by the IP_SEND_EMAIL frame: "Dear Sir/Madam," plus its own greeting, two headers, labelled "Official correspondence". F4: outside the owner's brand set; on the palette (tests/staff-notice.test.mjs), but no logo and no DGO mark on internal mail.</t>
        </is>
      </c>
      <c r="R17" s="6" t="inlineStr">
        <is>
          <t>Render a body fragment for the frame; add to the brand review.</t>
        </is>
      </c>
      <c r="S17" s="8" t="n"/>
      <c r="T17" s="9" t="n"/>
      <c r="U17" s="8" t="n"/>
    </row>
    <row r="18">
      <c r="A18" s="6" t="inlineStr">
        <is>
          <t>TR-040</t>
        </is>
      </c>
      <c r="B18" s="6" t="inlineStr">
        <is>
          <t>Flow e-mail · catalogue</t>
        </is>
      </c>
      <c r="C18" s="6" t="inlineStr">
        <is>
          <t>Folio Workspace</t>
        </is>
      </c>
      <c r="D18" s="6" t="inlineStr">
        <is>
          <t>EMAIL.email-with-attachments — email-with-attachments</t>
        </is>
      </c>
      <c r="E18" s="6" t="inlineStr">
        <is>
          <t>IP_SEND_EMAIL</t>
        </is>
      </c>
      <c r="F18" s="6" t="inlineStr">
        <is>
          <t>df59a69f-92ca-4554-ae68-6b464aa73ef7</t>
        </is>
      </c>
      <c r="G18" s="6" t="inlineStr">
        <is>
          <t>Send_Email_With_Attachments</t>
        </is>
      </c>
      <c r="H18" s="6" t="inlineStr">
        <is>
          <t>RN-021, RN-022, RN-024</t>
        </is>
      </c>
      <c r="I18" s="6" t="n"/>
      <c r="J18" s="6" t="inlineStr">
        <is>
          <t>@outputs('Compose_SendEmail_Recipients')</t>
        </is>
      </c>
      <c r="K18" s="6" t="inlineStr">
        <is>
          <t>email-catalogue/shared/email-with-attachments.html</t>
        </is>
      </c>
      <c r="L18" s="6" t="inlineStr">
        <is>
          <t>Yes</t>
        </is>
      </c>
      <c r="M18" s="6" t="inlineStr">
        <is>
          <t>Yes</t>
        </is>
      </c>
      <c r="N18" s="6" t="inlineStr">
        <is>
          <t>Palette, alt text, width and image host checked (test:emailcatalogue, test:brand; ACCEPTANCE 51/51)</t>
        </is>
      </c>
      <c r="O18" s="6" t="inlineStr">
        <is>
          <t>Live, identical to template</t>
        </is>
      </c>
      <c r="P18" s="7" t="inlineStr">
        <is>
          <t>GAP</t>
        </is>
      </c>
      <c r="Q18" s="6" t="inlineStr">
        <is>
          <t>F1: since release 36 this frame wraps the client bodies (staff notices, Correspondence Desk letters, reports, statistics), which are complete documents: two greetings, two headers, nested pages, all labelled "Official correspondence".</t>
        </is>
      </c>
      <c r="R18" s="6" t="inlineStr">
        <is>
          <t>Send body fragments from the Workspace (no flow release), or make the frame pass a complete document through.</t>
        </is>
      </c>
      <c r="S18" s="8" t="n"/>
      <c r="T18" s="9" t="n"/>
      <c r="U18" s="8" t="n"/>
    </row>
    <row r="19">
      <c r="A19" s="6" t="inlineStr">
        <is>
          <t>TR-041</t>
        </is>
      </c>
      <c r="B19" s="6" t="inlineStr">
        <is>
          <t>Flow e-mail · catalogue</t>
        </is>
      </c>
      <c r="C19" s="6" t="inlineStr">
        <is>
          <t>Folio Workspace</t>
        </is>
      </c>
      <c r="D19" s="6" t="inlineStr">
        <is>
          <t>EMAIL.email — email</t>
        </is>
      </c>
      <c r="E19" s="6" t="inlineStr">
        <is>
          <t>IP_SEND_EMAIL</t>
        </is>
      </c>
      <c r="F19" s="6" t="inlineStr">
        <is>
          <t>df59a69f-92ca-4554-ae68-6b464aa73ef7</t>
        </is>
      </c>
      <c r="G19" s="6" t="inlineStr">
        <is>
          <t>Send_Email</t>
        </is>
      </c>
      <c r="H19" s="6" t="inlineStr">
        <is>
          <t>RN-012, 015, 017, 018, 019, 020, 021, 022, 024, 034, 036</t>
        </is>
      </c>
      <c r="I19" s="6" t="n"/>
      <c r="J19" s="6" t="inlineStr">
        <is>
          <t>@outputs('Compose_SendEmail_Recipients')</t>
        </is>
      </c>
      <c r="K19" s="6" t="inlineStr">
        <is>
          <t>email-catalogue/shared/email-with-attachments.html</t>
        </is>
      </c>
      <c r="L19" s="6" t="inlineStr">
        <is>
          <t>Yes</t>
        </is>
      </c>
      <c r="M19" s="6" t="inlineStr">
        <is>
          <t>Yes</t>
        </is>
      </c>
      <c r="N19" s="6" t="inlineStr">
        <is>
          <t>Palette, alt text, width and image host checked (test:emailcatalogue, test:brand; ACCEPTANCE 51/51)</t>
        </is>
      </c>
      <c r="O19" s="6" t="inlineStr">
        <is>
          <t>Live, identical to template</t>
        </is>
      </c>
      <c r="P19" s="7" t="inlineStr">
        <is>
          <t>GAP</t>
        </is>
      </c>
      <c r="Q19" s="6" t="inlineStr">
        <is>
          <t>F1: since release 36 this frame wraps the client bodies (staff notices, Correspondence Desk letters, reports, statistics), which are complete documents: two greetings, two headers, nested pages, all labelled "Official correspondence".</t>
        </is>
      </c>
      <c r="R19" s="6" t="inlineStr">
        <is>
          <t>Send body fragments from the Workspace (no flow release), or make the frame pass a complete document through.</t>
        </is>
      </c>
      <c r="S19" s="8" t="n"/>
      <c r="T19" s="9" t="n"/>
      <c r="U19" s="8" t="n"/>
    </row>
    <row r="20">
      <c r="A20" s="6" t="inlineStr">
        <is>
          <t>TR-052</t>
        </is>
      </c>
      <c r="B20" s="6" t="inlineStr">
        <is>
          <t>Flow e-mail · no catalogue template</t>
        </is>
      </c>
      <c r="C20" s="6" t="inlineStr">
        <is>
          <t>Folio Workspace</t>
        </is>
      </c>
      <c r="D20" s="6" t="inlineStr">
        <is>
          <t>Flow run telemetry</t>
        </is>
      </c>
      <c r="E20" s="6" t="inlineStr">
        <is>
          <t>BULK_OPS_DATA_RETRIEVAL_HTTP</t>
        </is>
      </c>
      <c r="F20" s="6" t="inlineStr">
        <is>
          <t>5aab9e61-ab9f-4af1-9f2b-eaba23a1bf06</t>
        </is>
      </c>
      <c r="G20" s="6" t="inlineStr">
        <is>
          <t>Send_Telemetry_Email</t>
        </is>
      </c>
      <c r="H20" s="6" t="inlineStr">
        <is>
          <t>operational</t>
        </is>
      </c>
      <c r="I20" s="6" t="n"/>
      <c r="J20" s="6" t="inlineStr">
        <is>
          <t>dgsRegistry@nitda.gov.ng</t>
        </is>
      </c>
      <c r="K20" s="6" t="inlineStr">
        <is>
          <t>inline in the flow definition</t>
        </is>
      </c>
      <c r="L20" s="6" t="inlineStr">
        <is>
          <t>No</t>
        </is>
      </c>
      <c r="M20" s="6" t="inlineStr">
        <is>
          <t>No</t>
        </is>
      </c>
      <c r="N20" s="6" t="n"/>
      <c r="O20" s="6" t="inlineStr">
        <is>
          <t>Live</t>
        </is>
      </c>
      <c r="P20" s="7" t="inlineStr">
        <is>
          <t>GAP</t>
        </is>
      </c>
      <c r="Q20" s="6" t="inlineStr">
        <is>
          <t>A 249-character telemetry mail outside the package scope, to a fixed address; not in the catalogue.</t>
        </is>
      </c>
      <c r="R20" s="6" t="inlineStr">
        <is>
          <t>Remove it, or bring it into the package and catalogue.</t>
        </is>
      </c>
      <c r="S20" s="8" t="n"/>
      <c r="T20" s="9" t="n"/>
      <c r="U20" s="8" t="n"/>
    </row>
    <row r="21">
      <c r="A21" s="6" t="inlineStr">
        <is>
          <t>TR-055</t>
        </is>
      </c>
      <c r="B21" s="6" t="inlineStr">
        <is>
          <t>Flow e-mail · no catalogue template</t>
        </is>
      </c>
      <c r="C21" s="6" t="inlineStr">
        <is>
          <t>Governance (Estate Console)</t>
        </is>
      </c>
      <c r="D21" s="6" t="inlineStr">
        <is>
          <t>Run report (final status) to the registry</t>
        </is>
      </c>
      <c r="E21" s="6" t="inlineStr">
        <is>
          <t>01 - GOV - Provision HTTP Flow Registry</t>
        </is>
      </c>
      <c r="F21" s="6" t="inlineStr">
        <is>
          <t>17a85efb-1ed2-45c9-a602-2ad6f8bb7ead</t>
        </is>
      </c>
      <c r="G21" s="6" t="inlineStr">
        <is>
          <t>Send_Final_Report_Email</t>
        </is>
      </c>
      <c r="H21" s="6" t="inlineStr">
        <is>
          <t>RN-028, SN-006</t>
        </is>
      </c>
      <c r="I21" s="6" t="n"/>
      <c r="J21" s="6" t="inlineStr">
        <is>
          <t>@concat('dgsregistry@nitda.gov.ng',if(or(empty(trim(string(coalesce(triggerOutputs()?['hea</t>
        </is>
      </c>
      <c r="K21" s="6" t="inlineStr">
        <is>
          <t>inline in the flow definition</t>
        </is>
      </c>
      <c r="L21" s="6" t="inlineStr">
        <is>
          <t>No</t>
        </is>
      </c>
      <c r="M21" s="6" t="inlineStr">
        <is>
          <t>No</t>
        </is>
      </c>
      <c r="N21" s="6" t="inlineStr">
        <is>
          <t>Not covered by any brand check; captured body uses off-palette colours (#004578 and others) and Segoe UI</t>
        </is>
      </c>
      <c r="O21" s="6" t="inlineStr">
        <is>
          <t>Live, unchanged since 2026-10-01 capture</t>
        </is>
      </c>
      <c r="P21" s="7" t="inlineStr">
        <is>
          <t>GAP</t>
        </is>
      </c>
      <c r="Q21" s="6" t="inlineStr">
        <is>
          <t>F3: Outside the catalogue: not generated from a template, not brand-reviewed. Bare document: no language tag, preview text or logo.</t>
        </is>
      </c>
      <c r="R21" s="6" t="inlineStr">
        <is>
          <t>Bring under the catalogue (a flow package or a template file), or record why not.</t>
        </is>
      </c>
      <c r="S21" s="8" t="n"/>
      <c r="T21" s="9" t="n"/>
      <c r="U21" s="8" t="n"/>
    </row>
    <row r="22">
      <c r="A22" s="6" t="inlineStr">
        <is>
          <t>TR-056</t>
        </is>
      </c>
      <c r="B22" s="6" t="inlineStr">
        <is>
          <t>Flow e-mail · no catalogue template</t>
        </is>
      </c>
      <c r="C22" s="6" t="inlineStr">
        <is>
          <t>Governance (Estate Console)</t>
        </is>
      </c>
      <c r="D22" s="6" t="inlineStr">
        <is>
          <t>Run report (final status) to the registry</t>
        </is>
      </c>
      <c r="E22" s="6" t="inlineStr">
        <is>
          <t>02 - GOV - Register HTTP Flow Truth</t>
        </is>
      </c>
      <c r="F22" s="6" t="inlineStr">
        <is>
          <t>651ae389-eeed-4bf0-9799-67bd964ebe71</t>
        </is>
      </c>
      <c r="G22" s="6" t="inlineStr">
        <is>
          <t>Send_Final_Report_Email</t>
        </is>
      </c>
      <c r="H22" s="6" t="inlineStr">
        <is>
          <t>SN-006</t>
        </is>
      </c>
      <c r="I22" s="6" t="n"/>
      <c r="J22" s="6" t="inlineStr">
        <is>
          <t>dgsRegistry@nitda.gov.ng</t>
        </is>
      </c>
      <c r="K22" s="6" t="inlineStr">
        <is>
          <t>inline in the flow definition</t>
        </is>
      </c>
      <c r="L22" s="6" t="inlineStr">
        <is>
          <t>No</t>
        </is>
      </c>
      <c r="M22" s="6" t="inlineStr">
        <is>
          <t>No</t>
        </is>
      </c>
      <c r="N22" s="6" t="inlineStr">
        <is>
          <t>Not covered by any brand check; captured body uses off-palette colours (#004578 and others) and Segoe UI</t>
        </is>
      </c>
      <c r="O22" s="6" t="inlineStr">
        <is>
          <t>Live, unchanged since 2026-10-01 capture</t>
        </is>
      </c>
      <c r="P22" s="7" t="inlineStr">
        <is>
          <t>GAP</t>
        </is>
      </c>
      <c r="Q22" s="6" t="inlineStr">
        <is>
          <t>F3: Outside the catalogue: not generated from a template, not brand-reviewed. Bare document: no language tag, preview text or logo.</t>
        </is>
      </c>
      <c r="R22" s="6" t="inlineStr">
        <is>
          <t>Bring under the catalogue (a flow package or a template file), or record why not.</t>
        </is>
      </c>
      <c r="S22" s="8" t="n"/>
      <c r="T22" s="9" t="n"/>
      <c r="U22" s="8" t="n"/>
    </row>
    <row r="23">
      <c r="A23" s="6" t="inlineStr">
        <is>
          <t>TR-057</t>
        </is>
      </c>
      <c r="B23" s="6" t="inlineStr">
        <is>
          <t>Flow e-mail · no catalogue template</t>
        </is>
      </c>
      <c r="C23" s="6" t="inlineStr">
        <is>
          <t>Governance (Estate Console)</t>
        </is>
      </c>
      <c r="D23" s="6" t="inlineStr">
        <is>
          <t>Run report (final status) to the registry</t>
        </is>
      </c>
      <c r="E23" s="6" t="inlineStr">
        <is>
          <t>03 - GOV - Record HTTP Flow Execution</t>
        </is>
      </c>
      <c r="F23" s="6" t="inlineStr">
        <is>
          <t>0545e19a-c34a-45db-bd11-27b87a34973e</t>
        </is>
      </c>
      <c r="G23" s="6" t="inlineStr">
        <is>
          <t>Send_Final_Report_Email</t>
        </is>
      </c>
      <c r="H23" s="6" t="inlineStr">
        <is>
          <t>SN-006</t>
        </is>
      </c>
      <c r="I23" s="6" t="n"/>
      <c r="J23" s="6" t="inlineStr">
        <is>
          <t>dgsRegistry@nitda.gov.ng</t>
        </is>
      </c>
      <c r="K23" s="6" t="inlineStr">
        <is>
          <t>inline in the flow definition</t>
        </is>
      </c>
      <c r="L23" s="6" t="inlineStr">
        <is>
          <t>No</t>
        </is>
      </c>
      <c r="M23" s="6" t="inlineStr">
        <is>
          <t>No</t>
        </is>
      </c>
      <c r="N23" s="6" t="inlineStr">
        <is>
          <t>Not covered by any brand check; captured body uses off-palette colours (#004578 and others) and Segoe UI</t>
        </is>
      </c>
      <c r="O23" s="6" t="inlineStr">
        <is>
          <t>Live, unchanged since 2026-10-01 capture</t>
        </is>
      </c>
      <c r="P23" s="7" t="inlineStr">
        <is>
          <t>GAP</t>
        </is>
      </c>
      <c r="Q23" s="6" t="inlineStr">
        <is>
          <t>F3: Outside the catalogue: not generated from a template, not brand-reviewed. Bare document: no language tag, preview text or logo.</t>
        </is>
      </c>
      <c r="R23" s="6" t="inlineStr">
        <is>
          <t>Bring under the catalogue (a flow package or a template file), or record why not.</t>
        </is>
      </c>
      <c r="S23" s="8" t="n"/>
      <c r="T23" s="9" t="n"/>
      <c r="U23" s="8" t="n"/>
    </row>
    <row r="24">
      <c r="A24" s="6" t="inlineStr">
        <is>
          <t>TR-058</t>
        </is>
      </c>
      <c r="B24" s="6" t="inlineStr">
        <is>
          <t>Flow e-mail · no catalogue template</t>
        </is>
      </c>
      <c r="C24" s="6" t="inlineStr">
        <is>
          <t>Governance (Estate Console)</t>
        </is>
      </c>
      <c r="D24" s="6" t="inlineStr">
        <is>
          <t>Stale flow alert to technical owner</t>
        </is>
      </c>
      <c r="E24" s="6" t="inlineStr">
        <is>
          <t>04 - GOV - Audit HTTP Flow Registry</t>
        </is>
      </c>
      <c r="F24" s="6" t="inlineStr">
        <is>
          <t>3e9e1342-5027-4c0f-bdd3-1e06aa7f2a3b</t>
        </is>
      </c>
      <c r="G24" s="6" t="inlineStr">
        <is>
          <t>Send_Stale_Owner_And_Governance_Alert</t>
        </is>
      </c>
      <c r="H24" s="6" t="inlineStr">
        <is>
          <t>SN-006</t>
        </is>
      </c>
      <c r="I24" s="6" t="n"/>
      <c r="J24" s="6" t="inlineStr">
        <is>
          <t>@coalesce(item()?['TechnicalOwnerEmail'],'dgsRegistry@nitda.gov.ng')</t>
        </is>
      </c>
      <c r="K24" s="6" t="inlineStr">
        <is>
          <t>inline in the flow definition</t>
        </is>
      </c>
      <c r="L24" s="6" t="inlineStr">
        <is>
          <t>No</t>
        </is>
      </c>
      <c r="M24" s="6" t="inlineStr">
        <is>
          <t>No</t>
        </is>
      </c>
      <c r="N24" s="6" t="inlineStr">
        <is>
          <t>Not covered by any brand check; captured body uses off-palette colours (#004578 and others) and Segoe UI</t>
        </is>
      </c>
      <c r="O24" s="6" t="inlineStr">
        <is>
          <t>Live, unchanged since 2026-10-01 capture</t>
        </is>
      </c>
      <c r="P24" s="7" t="inlineStr">
        <is>
          <t>GAP</t>
        </is>
      </c>
      <c r="Q24" s="6" t="inlineStr">
        <is>
          <t>F3: Outside the catalogue: not generated from a template, not brand-reviewed. Logo loads from nitda.gov.ng/assets/, not the Portal host the owner set on 2026-10-18.</t>
        </is>
      </c>
      <c r="R24" s="6" t="inlineStr">
        <is>
          <t>Bring under the catalogue (a flow package or a template file), or record why not.</t>
        </is>
      </c>
      <c r="S24" s="8" t="n"/>
      <c r="T24" s="9" t="n"/>
      <c r="U24" s="8" t="n"/>
    </row>
    <row r="25">
      <c r="A25" s="6" t="inlineStr">
        <is>
          <t>TR-059</t>
        </is>
      </c>
      <c r="B25" s="6" t="inlineStr">
        <is>
          <t>Flow e-mail · no catalogue template</t>
        </is>
      </c>
      <c r="C25" s="6" t="inlineStr">
        <is>
          <t>Governance (Estate Console)</t>
        </is>
      </c>
      <c r="D25" s="6" t="inlineStr">
        <is>
          <t>Stale flow reminder or escalation</t>
        </is>
      </c>
      <c r="E25" s="6" t="inlineStr">
        <is>
          <t>04 - GOV - Audit HTTP Flow Registry</t>
        </is>
      </c>
      <c r="F25" s="6" t="inlineStr">
        <is>
          <t>3e9e1342-5027-4c0f-bdd3-1e06aa7f2a3b</t>
        </is>
      </c>
      <c r="G25" s="6" t="inlineStr">
        <is>
          <t>Send_Stale_Reminder_Or_Escalation</t>
        </is>
      </c>
      <c r="H25" s="6" t="inlineStr">
        <is>
          <t>SN-006</t>
        </is>
      </c>
      <c r="I25" s="6" t="n"/>
      <c r="J25" s="6" t="inlineStr">
        <is>
          <t>@coalesce(item()?['TechnicalOwnerEmail'],'dgsRegistry@nitda.gov.ng')</t>
        </is>
      </c>
      <c r="K25" s="6" t="inlineStr">
        <is>
          <t>inline in the flow definition</t>
        </is>
      </c>
      <c r="L25" s="6" t="inlineStr">
        <is>
          <t>No</t>
        </is>
      </c>
      <c r="M25" s="6" t="inlineStr">
        <is>
          <t>No</t>
        </is>
      </c>
      <c r="N25" s="6" t="inlineStr">
        <is>
          <t>Not covered by any brand check; captured body uses off-palette colours (#004578 and others) and Segoe UI</t>
        </is>
      </c>
      <c r="O25" s="6" t="inlineStr">
        <is>
          <t>Live, unchanged since 2026-10-01 capture</t>
        </is>
      </c>
      <c r="P25" s="7" t="inlineStr">
        <is>
          <t>GAP</t>
        </is>
      </c>
      <c r="Q25" s="6" t="inlineStr">
        <is>
          <t>F3: Outside the catalogue: not generated from a template, not brand-reviewed. Logo loads from nitda.gov.ng/assets/, not the Portal host the owner set on 2026-10-18.</t>
        </is>
      </c>
      <c r="R25" s="6" t="inlineStr">
        <is>
          <t>Bring under the catalogue (a flow package or a template file), or record why not.</t>
        </is>
      </c>
      <c r="S25" s="8" t="n"/>
      <c r="T25" s="9" t="n"/>
      <c r="U25" s="8" t="n"/>
    </row>
    <row r="26">
      <c r="A26" s="6" t="inlineStr">
        <is>
          <t>TR-060</t>
        </is>
      </c>
      <c r="B26" s="6" t="inlineStr">
        <is>
          <t>Flow e-mail · no catalogue template</t>
        </is>
      </c>
      <c r="C26" s="6" t="inlineStr">
        <is>
          <t>Governance (Estate Console)</t>
        </is>
      </c>
      <c r="D26" s="6" t="inlineStr">
        <is>
          <t>Failing flow alert to technical owner</t>
        </is>
      </c>
      <c r="E26" s="6" t="inlineStr">
        <is>
          <t>04 - GOV - Audit HTTP Flow Registry</t>
        </is>
      </c>
      <c r="F26" s="6" t="inlineStr">
        <is>
          <t>3e9e1342-5027-4c0f-bdd3-1e06aa7f2a3b</t>
        </is>
      </c>
      <c r="G26" s="6" t="inlineStr">
        <is>
          <t>Send_Failure_Owner_And_Governance_Alert</t>
        </is>
      </c>
      <c r="H26" s="6" t="inlineStr">
        <is>
          <t>SN-006</t>
        </is>
      </c>
      <c r="I26" s="6" t="n"/>
      <c r="J26" s="6" t="inlineStr">
        <is>
          <t>@coalesce(item()?['TechnicalOwnerEmail'],'dgsRegistry@nitda.gov.ng')</t>
        </is>
      </c>
      <c r="K26" s="6" t="inlineStr">
        <is>
          <t>inline in the flow definition</t>
        </is>
      </c>
      <c r="L26" s="6" t="inlineStr">
        <is>
          <t>No</t>
        </is>
      </c>
      <c r="M26" s="6" t="inlineStr">
        <is>
          <t>No</t>
        </is>
      </c>
      <c r="N26" s="6" t="inlineStr">
        <is>
          <t>Not covered by any brand check; captured body uses off-palette colours (#004578 and others) and Segoe UI</t>
        </is>
      </c>
      <c r="O26" s="6" t="inlineStr">
        <is>
          <t>Live, unchanged since 2026-10-01 capture</t>
        </is>
      </c>
      <c r="P26" s="7" t="inlineStr">
        <is>
          <t>GAP</t>
        </is>
      </c>
      <c r="Q26" s="6" t="inlineStr">
        <is>
          <t>F3: Outside the catalogue: not generated from a template, not brand-reviewed. Logo loads from nitda.gov.ng/assets/, not the Portal host the owner set on 2026-10-18.</t>
        </is>
      </c>
      <c r="R26" s="6" t="inlineStr">
        <is>
          <t>Bring under the catalogue (a flow package or a template file), or record why not.</t>
        </is>
      </c>
      <c r="S26" s="8" t="n"/>
      <c r="T26" s="9" t="n"/>
      <c r="U26" s="8" t="n"/>
    </row>
    <row r="27">
      <c r="A27" s="6" t="inlineStr">
        <is>
          <t>TR-061</t>
        </is>
      </c>
      <c r="B27" s="6" t="inlineStr">
        <is>
          <t>Flow e-mail · no catalogue template</t>
        </is>
      </c>
      <c r="C27" s="6" t="inlineStr">
        <is>
          <t>Governance (Estate Console)</t>
        </is>
      </c>
      <c r="D27" s="6" t="inlineStr">
        <is>
          <t>Failing flow reminder or escalation</t>
        </is>
      </c>
      <c r="E27" s="6" t="inlineStr">
        <is>
          <t>04 - GOV - Audit HTTP Flow Registry</t>
        </is>
      </c>
      <c r="F27" s="6" t="inlineStr">
        <is>
          <t>3e9e1342-5027-4c0f-bdd3-1e06aa7f2a3b</t>
        </is>
      </c>
      <c r="G27" s="6" t="inlineStr">
        <is>
          <t>Send_Failure_Reminder_Or_Escalation</t>
        </is>
      </c>
      <c r="H27" s="6" t="inlineStr">
        <is>
          <t>SN-006</t>
        </is>
      </c>
      <c r="I27" s="6" t="n"/>
      <c r="J27" s="6" t="inlineStr">
        <is>
          <t>@coalesce(item()?['TechnicalOwnerEmail'],'dgsRegistry@nitda.gov.ng')</t>
        </is>
      </c>
      <c r="K27" s="6" t="inlineStr">
        <is>
          <t>inline in the flow definition</t>
        </is>
      </c>
      <c r="L27" s="6" t="inlineStr">
        <is>
          <t>No</t>
        </is>
      </c>
      <c r="M27" s="6" t="inlineStr">
        <is>
          <t>No</t>
        </is>
      </c>
      <c r="N27" s="6" t="inlineStr">
        <is>
          <t>Not covered by any brand check; captured body uses off-palette colours (#004578 and others) and Segoe UI</t>
        </is>
      </c>
      <c r="O27" s="6" t="inlineStr">
        <is>
          <t>Live, unchanged since 2026-10-01 capture</t>
        </is>
      </c>
      <c r="P27" s="7" t="inlineStr">
        <is>
          <t>GAP</t>
        </is>
      </c>
      <c r="Q27" s="6" t="inlineStr">
        <is>
          <t>F3: Outside the catalogue: not generated from a template, not brand-reviewed. Logo loads from nitda.gov.ng/assets/, not the Portal host the owner set on 2026-10-18.</t>
        </is>
      </c>
      <c r="R27" s="6" t="inlineStr">
        <is>
          <t>Bring under the catalogue (a flow package or a template file), or record why not.</t>
        </is>
      </c>
      <c r="S27" s="8" t="n"/>
      <c r="T27" s="9" t="n"/>
      <c r="U27" s="8" t="n"/>
    </row>
    <row r="28">
      <c r="A28" s="6" t="inlineStr">
        <is>
          <t>TR-062</t>
        </is>
      </c>
      <c r="B28" s="6" t="inlineStr">
        <is>
          <t>Flow e-mail · no catalogue template</t>
        </is>
      </c>
      <c r="C28" s="6" t="inlineStr">
        <is>
          <t>Governance (Estate Console)</t>
        </is>
      </c>
      <c r="D28" s="6" t="inlineStr">
        <is>
          <t>Flow recovered ([CLEARED])</t>
        </is>
      </c>
      <c r="E28" s="6" t="inlineStr">
        <is>
          <t>04 - GOV - Audit HTTP Flow Registry</t>
        </is>
      </c>
      <c r="F28" s="6" t="inlineStr">
        <is>
          <t>3e9e1342-5027-4c0f-bdd3-1e06aa7f2a3b</t>
        </is>
      </c>
      <c r="G28" s="6" t="inlineStr">
        <is>
          <t>Send_Recovery_Notification</t>
        </is>
      </c>
      <c r="H28" s="6" t="inlineStr">
        <is>
          <t>SN-006</t>
        </is>
      </c>
      <c r="I28" s="6" t="n"/>
      <c r="J28" s="6" t="inlineStr">
        <is>
          <t>@coalesce(first(body('Get_Recovery_Registry_Record')?['value'])?['TechnicalOwnerEmail'],it</t>
        </is>
      </c>
      <c r="K28" s="6" t="inlineStr">
        <is>
          <t>inline in the flow definition</t>
        </is>
      </c>
      <c r="L28" s="6" t="inlineStr">
        <is>
          <t>No</t>
        </is>
      </c>
      <c r="M28" s="6" t="inlineStr">
        <is>
          <t>No</t>
        </is>
      </c>
      <c r="N28" s="6" t="inlineStr">
        <is>
          <t>Not covered by any brand check; captured body uses off-palette colours (#004578 and others) and Segoe UI</t>
        </is>
      </c>
      <c r="O28" s="6" t="inlineStr">
        <is>
          <t>Live, unchanged since 2026-10-01 capture</t>
        </is>
      </c>
      <c r="P28" s="7" t="inlineStr">
        <is>
          <t>GAP</t>
        </is>
      </c>
      <c r="Q28" s="6" t="inlineStr">
        <is>
          <t>F3: Outside the catalogue: not generated from a template, not brand-reviewed. Logo loads from nitda.gov.ng/assets/, not the Portal host the owner set on 2026-10-18.</t>
        </is>
      </c>
      <c r="R28" s="6" t="inlineStr">
        <is>
          <t>Bring under the catalogue (a flow package or a template file), or record why not.</t>
        </is>
      </c>
      <c r="S28" s="8" t="n"/>
      <c r="T28" s="9" t="n"/>
      <c r="U28" s="8" t="n"/>
    </row>
    <row r="29">
      <c r="A29" s="6" t="inlineStr">
        <is>
          <t>TR-063</t>
        </is>
      </c>
      <c r="B29" s="6" t="inlineStr">
        <is>
          <t>Flow e-mail · no catalogue template</t>
        </is>
      </c>
      <c r="C29" s="6" t="inlineStr">
        <is>
          <t>Governance (Estate Console)</t>
        </is>
      </c>
      <c r="D29" s="6" t="inlineStr">
        <is>
          <t>Run report (final status) to the registry</t>
        </is>
      </c>
      <c r="E29" s="6" t="inlineStr">
        <is>
          <t>04 - GOV - Audit HTTP Flow Registry</t>
        </is>
      </c>
      <c r="F29" s="6" t="inlineStr">
        <is>
          <t>3e9e1342-5027-4c0f-bdd3-1e06aa7f2a3b</t>
        </is>
      </c>
      <c r="G29" s="6" t="inlineStr">
        <is>
          <t>Send_Final_Report_Email</t>
        </is>
      </c>
      <c r="H29" s="6" t="inlineStr">
        <is>
          <t>SN-006</t>
        </is>
      </c>
      <c r="I29" s="6" t="n"/>
      <c r="J29" s="6" t="inlineStr">
        <is>
          <t>dgsRegistry@nitda.gov.ng</t>
        </is>
      </c>
      <c r="K29" s="6" t="inlineStr">
        <is>
          <t>inline in the flow definition</t>
        </is>
      </c>
      <c r="L29" s="6" t="inlineStr">
        <is>
          <t>No</t>
        </is>
      </c>
      <c r="M29" s="6" t="inlineStr">
        <is>
          <t>No</t>
        </is>
      </c>
      <c r="N29" s="6" t="inlineStr">
        <is>
          <t>Not covered by any brand check; captured body uses off-palette colours (#004578 and others) and Segoe UI</t>
        </is>
      </c>
      <c r="O29" s="6" t="inlineStr">
        <is>
          <t>Live, unchanged since 2026-10-01 capture</t>
        </is>
      </c>
      <c r="P29" s="7" t="inlineStr">
        <is>
          <t>GAP</t>
        </is>
      </c>
      <c r="Q29" s="6" t="inlineStr">
        <is>
          <t>F3: Outside the catalogue: not generated from a template, not brand-reviewed. Bare document: no language tag, preview text or logo.</t>
        </is>
      </c>
      <c r="R29" s="6" t="inlineStr">
        <is>
          <t>Bring under the catalogue (a flow package or a template file), or record why not.</t>
        </is>
      </c>
      <c r="S29" s="8" t="n"/>
      <c r="T29" s="9" t="n"/>
      <c r="U29" s="8" t="n"/>
    </row>
    <row r="30">
      <c r="A30" s="6" t="inlineStr">
        <is>
          <t>TR-064</t>
        </is>
      </c>
      <c r="B30" s="6" t="inlineStr">
        <is>
          <t>Flow e-mail · no catalogue template</t>
        </is>
      </c>
      <c r="C30" s="6" t="inlineStr">
        <is>
          <t>Governance (Estate Console)</t>
        </is>
      </c>
      <c r="D30" s="6" t="inlineStr">
        <is>
          <t>Execution report to the registry</t>
        </is>
      </c>
      <c r="E30" s="6" t="inlineStr">
        <is>
          <t>05 - GOV - Retire HTTP Flow</t>
        </is>
      </c>
      <c r="F30" s="6" t="inlineStr">
        <is>
          <t>493b4ab7-8f63-4fab-8121-746c2cac7f98</t>
        </is>
      </c>
      <c r="G30" s="6" t="inlineStr">
        <is>
          <t>Send_Execution_Report_Email</t>
        </is>
      </c>
      <c r="H30" s="6" t="inlineStr">
        <is>
          <t>SN-006</t>
        </is>
      </c>
      <c r="I30" s="6" t="n"/>
      <c r="J30" s="6" t="inlineStr">
        <is>
          <t>dgsRegistry@nitda.gov.ng</t>
        </is>
      </c>
      <c r="K30" s="6" t="inlineStr">
        <is>
          <t>inline in the flow definition</t>
        </is>
      </c>
      <c r="L30" s="6" t="inlineStr">
        <is>
          <t>No</t>
        </is>
      </c>
      <c r="M30" s="6" t="inlineStr">
        <is>
          <t>No</t>
        </is>
      </c>
      <c r="N30" s="6" t="inlineStr">
        <is>
          <t>Not covered by any brand check; captured body uses off-palette colours (#004578 and others) and Segoe UI</t>
        </is>
      </c>
      <c r="O30" s="6" t="inlineStr">
        <is>
          <t>Live, unchanged since 2026-10-01 capture</t>
        </is>
      </c>
      <c r="P30" s="7" t="inlineStr">
        <is>
          <t>GAP</t>
        </is>
      </c>
      <c r="Q30" s="6" t="inlineStr">
        <is>
          <t>F3: Outside the catalogue: not generated from a template, not brand-reviewed. Bare document: no language tag, preview text or logo.</t>
        </is>
      </c>
      <c r="R30" s="6" t="inlineStr">
        <is>
          <t>Bring under the catalogue (a flow package or a template file), or record why not.</t>
        </is>
      </c>
      <c r="S30" s="8" t="n"/>
      <c r="T30" s="9" t="n"/>
      <c r="U30" s="8" t="n"/>
    </row>
    <row r="31">
      <c r="A31" s="6" t="inlineStr">
        <is>
          <t>TR-065</t>
        </is>
      </c>
      <c r="B31" s="6" t="inlineStr">
        <is>
          <t>Flow e-mail · no catalogue template</t>
        </is>
      </c>
      <c r="C31" s="6" t="inlineStr">
        <is>
          <t>Governance (Estate Console)</t>
        </is>
      </c>
      <c r="D31" s="6" t="inlineStr">
        <is>
          <t>Run report (final status) to the registry</t>
        </is>
      </c>
      <c r="E31" s="6" t="inlineStr">
        <is>
          <t>05 - GOV - Retire HTTP Flow</t>
        </is>
      </c>
      <c r="F31" s="6" t="inlineStr">
        <is>
          <t>493b4ab7-8f63-4fab-8121-746c2cac7f98</t>
        </is>
      </c>
      <c r="G31" s="6" t="inlineStr">
        <is>
          <t>Send_Final_Report_Email</t>
        </is>
      </c>
      <c r="H31" s="6" t="inlineStr">
        <is>
          <t>SN-006</t>
        </is>
      </c>
      <c r="I31" s="6" t="n"/>
      <c r="J31" s="6" t="inlineStr">
        <is>
          <t>dgsRegistry@nitda.gov.ng</t>
        </is>
      </c>
      <c r="K31" s="6" t="inlineStr">
        <is>
          <t>inline in the flow definition</t>
        </is>
      </c>
      <c r="L31" s="6" t="inlineStr">
        <is>
          <t>No</t>
        </is>
      </c>
      <c r="M31" s="6" t="inlineStr">
        <is>
          <t>No</t>
        </is>
      </c>
      <c r="N31" s="6" t="inlineStr">
        <is>
          <t>Not covered by any brand check; captured body uses off-palette colours (#004578 and others) and Segoe UI</t>
        </is>
      </c>
      <c r="O31" s="6" t="inlineStr">
        <is>
          <t>Live, unchanged since 2026-10-01 capture</t>
        </is>
      </c>
      <c r="P31" s="7" t="inlineStr">
        <is>
          <t>GAP</t>
        </is>
      </c>
      <c r="Q31" s="6" t="inlineStr">
        <is>
          <t>F3: Outside the catalogue: not generated from a template, not brand-reviewed. Bare document: no language tag, preview text or logo.</t>
        </is>
      </c>
      <c r="R31" s="6" t="inlineStr">
        <is>
          <t>Bring under the catalogue (a flow package or a template file), or record why not.</t>
        </is>
      </c>
      <c r="S31" s="8" t="n"/>
      <c r="T31" s="9" t="n"/>
      <c r="U31" s="8" t="n"/>
    </row>
    <row r="32">
      <c r="A32" s="6" t="inlineStr">
        <is>
          <t>TR-066</t>
        </is>
      </c>
      <c r="B32" s="6" t="inlineStr">
        <is>
          <t>Flow e-mail · no catalogue template</t>
        </is>
      </c>
      <c r="C32" s="6" t="inlineStr">
        <is>
          <t>Governance (Estate Console)</t>
        </is>
      </c>
      <c r="D32" s="6" t="inlineStr">
        <is>
          <t>Registry exception to its assignee</t>
        </is>
      </c>
      <c r="E32" s="6" t="inlineStr">
        <is>
          <t>06 - GOV - Registry Exception Notification</t>
        </is>
      </c>
      <c r="F32" s="6" t="inlineStr">
        <is>
          <t>87a74d7e-7435-4e34-baa1-7e759ebf5565</t>
        </is>
      </c>
      <c r="G32" s="6" t="inlineStr">
        <is>
          <t>Send_Exception_Email</t>
        </is>
      </c>
      <c r="H32" s="6" t="inlineStr">
        <is>
          <t>RN-039</t>
        </is>
      </c>
      <c r="I32" s="6" t="n"/>
      <c r="J32" s="6" t="inlineStr">
        <is>
          <t>@if(or(empty(trim(string(item()?['AssignedToEmail']))),equals(toLower(trim(string(item()?[</t>
        </is>
      </c>
      <c r="K32" s="6" t="inlineStr">
        <is>
          <t>inline in the flow definition</t>
        </is>
      </c>
      <c r="L32" s="6" t="inlineStr">
        <is>
          <t>No</t>
        </is>
      </c>
      <c r="M32" s="6" t="inlineStr">
        <is>
          <t>No</t>
        </is>
      </c>
      <c r="N32" s="6" t="inlineStr">
        <is>
          <t>Not covered by any brand check; captured body uses off-palette colours (#004578 and others) and Segoe UI</t>
        </is>
      </c>
      <c r="O32" s="6" t="inlineStr">
        <is>
          <t>Live, unchanged since 2026-10-01 capture</t>
        </is>
      </c>
      <c r="P32" s="7" t="inlineStr">
        <is>
          <t>GAP</t>
        </is>
      </c>
      <c r="Q32" s="6" t="inlineStr">
        <is>
          <t>F3: Outside the catalogue: not generated from a template, not brand-reviewed. Bare document: no language tag, preview text or logo.</t>
        </is>
      </c>
      <c r="R32" s="6" t="inlineStr">
        <is>
          <t>Bring under the catalogue (a flow package or a template file), or record why not.</t>
        </is>
      </c>
      <c r="S32" s="8" t="n"/>
      <c r="T32" s="9" t="n"/>
      <c r="U32" s="8" t="n"/>
    </row>
    <row r="33">
      <c r="A33" s="6" t="inlineStr">
        <is>
          <t>TR-067</t>
        </is>
      </c>
      <c r="B33" s="6" t="inlineStr">
        <is>
          <t>Flow e-mail · no catalogue template</t>
        </is>
      </c>
      <c r="C33" s="6" t="inlineStr">
        <is>
          <t>Governance (Estate Console)</t>
        </is>
      </c>
      <c r="D33" s="6" t="inlineStr">
        <is>
          <t>Run report (final status) to the registry</t>
        </is>
      </c>
      <c r="E33" s="6" t="inlineStr">
        <is>
          <t>06 - GOV - Registry Exception Notification</t>
        </is>
      </c>
      <c r="F33" s="6" t="inlineStr">
        <is>
          <t>87a74d7e-7435-4e34-baa1-7e759ebf5565</t>
        </is>
      </c>
      <c r="G33" s="6" t="inlineStr">
        <is>
          <t>Send_Final_Report_Email</t>
        </is>
      </c>
      <c r="H33" s="6" t="inlineStr">
        <is>
          <t>SN-006</t>
        </is>
      </c>
      <c r="I33" s="6" t="n"/>
      <c r="J33" s="6" t="inlineStr">
        <is>
          <t>dgsRegistry@nitda.gov.ng</t>
        </is>
      </c>
      <c r="K33" s="6" t="inlineStr">
        <is>
          <t>inline in the flow definition</t>
        </is>
      </c>
      <c r="L33" s="6" t="inlineStr">
        <is>
          <t>No</t>
        </is>
      </c>
      <c r="M33" s="6" t="inlineStr">
        <is>
          <t>No</t>
        </is>
      </c>
      <c r="N33" s="6" t="inlineStr">
        <is>
          <t>Not covered by any brand check; captured body uses off-palette colours (#004578 and others) and Segoe UI</t>
        </is>
      </c>
      <c r="O33" s="6" t="inlineStr">
        <is>
          <t>Live, unchanged since 2026-10-01 capture</t>
        </is>
      </c>
      <c r="P33" s="7" t="inlineStr">
        <is>
          <t>GAP</t>
        </is>
      </c>
      <c r="Q33" s="6" t="inlineStr">
        <is>
          <t>F3: Outside the catalogue: not generated from a template, not brand-reviewed. Bare document: no language tag, preview text or logo.</t>
        </is>
      </c>
      <c r="R33" s="6" t="inlineStr">
        <is>
          <t>Bring under the catalogue (a flow package or a template file), or record why not.</t>
        </is>
      </c>
      <c r="S33" s="8" t="n"/>
      <c r="T33" s="9" t="n"/>
      <c r="U33" s="8" t="n"/>
    </row>
    <row r="34">
      <c r="A34" s="6" t="inlineStr">
        <is>
          <t>TR-068</t>
        </is>
      </c>
      <c r="B34" s="6" t="inlineStr">
        <is>
          <t>Flow e-mail · no catalogue template</t>
        </is>
      </c>
      <c r="C34" s="6" t="inlineStr">
        <is>
          <t>Governance (Estate Console)</t>
        </is>
      </c>
      <c r="D34" s="6" t="inlineStr">
        <is>
          <t>Run report (final status) to the registry</t>
        </is>
      </c>
      <c r="E34" s="6" t="inlineStr">
        <is>
          <t>07 - GOV - Consumer HTTP Self-Registration Template</t>
        </is>
      </c>
      <c r="F34" s="6" t="inlineStr">
        <is>
          <t>c6a011c5-7b11-4241-82ae-a45b88ebf276</t>
        </is>
      </c>
      <c r="G34" s="6" t="inlineStr">
        <is>
          <t>Send_Final_Report_Email</t>
        </is>
      </c>
      <c r="H34" s="6" t="inlineStr">
        <is>
          <t>SN-006</t>
        </is>
      </c>
      <c r="I34" s="6" t="n"/>
      <c r="J34" s="6" t="inlineStr">
        <is>
          <t>dgsRegistry@nitda.gov.ng</t>
        </is>
      </c>
      <c r="K34" s="6" t="inlineStr">
        <is>
          <t>inline in the flow definition</t>
        </is>
      </c>
      <c r="L34" s="6" t="inlineStr">
        <is>
          <t>No</t>
        </is>
      </c>
      <c r="M34" s="6" t="inlineStr">
        <is>
          <t>No</t>
        </is>
      </c>
      <c r="N34" s="6" t="inlineStr">
        <is>
          <t>Not covered by any brand check; captured body uses off-palette colours (#004578 and others) and Segoe UI</t>
        </is>
      </c>
      <c r="O34" s="6" t="inlineStr">
        <is>
          <t>Live, unchanged since 2026-10-01 capture</t>
        </is>
      </c>
      <c r="P34" s="7" t="inlineStr">
        <is>
          <t>GAP</t>
        </is>
      </c>
      <c r="Q34" s="6" t="inlineStr">
        <is>
          <t>F3: Outside the catalogue: not generated from a template, not brand-reviewed. Bare document: no language tag, preview text or logo.</t>
        </is>
      </c>
      <c r="R34" s="6" t="inlineStr">
        <is>
          <t>Bring under the catalogue (a flow package or a template file), or record why not.</t>
        </is>
      </c>
      <c r="S34" s="8" t="n"/>
      <c r="T34" s="9" t="n"/>
      <c r="U34" s="8" t="n"/>
    </row>
    <row r="35">
      <c r="A35" s="6" t="inlineStr">
        <is>
          <t>TR-069</t>
        </is>
      </c>
      <c r="B35" s="6" t="inlineStr">
        <is>
          <t>Flow e-mail · no catalogue template</t>
        </is>
      </c>
      <c r="C35" s="6" t="inlineStr">
        <is>
          <t>Governance (Estate Console)</t>
        </is>
      </c>
      <c r="D35" s="6" t="inlineStr">
        <is>
          <t>Execution report to the registry</t>
        </is>
      </c>
      <c r="E35" s="6" t="inlineStr">
        <is>
          <t>08 - GOV - Discover and Register HTTP Consumers</t>
        </is>
      </c>
      <c r="F35" s="6" t="inlineStr">
        <is>
          <t>f5e7679f-ca1b-4216-8a6e-bb6c044ed06f</t>
        </is>
      </c>
      <c r="G35" s="6" t="inlineStr">
        <is>
          <t>Send_Execution_Report_Email</t>
        </is>
      </c>
      <c r="H35" s="6" t="inlineStr">
        <is>
          <t>SN-006</t>
        </is>
      </c>
      <c r="I35" s="6" t="n"/>
      <c r="J35" s="6" t="inlineStr">
        <is>
          <t>dgsRegistry@nitda.gov.ng</t>
        </is>
      </c>
      <c r="K35" s="6" t="inlineStr">
        <is>
          <t>inline in the flow definition</t>
        </is>
      </c>
      <c r="L35" s="6" t="inlineStr">
        <is>
          <t>No</t>
        </is>
      </c>
      <c r="M35" s="6" t="inlineStr">
        <is>
          <t>No</t>
        </is>
      </c>
      <c r="N35" s="6" t="inlineStr">
        <is>
          <t>Not covered by any brand check; captured body uses off-palette colours (#004578 and others) and Segoe UI</t>
        </is>
      </c>
      <c r="O35" s="6" t="inlineStr">
        <is>
          <t>Live, unchanged since 2026-10-01 capture</t>
        </is>
      </c>
      <c r="P35" s="7" t="inlineStr">
        <is>
          <t>GAP</t>
        </is>
      </c>
      <c r="Q35" s="6" t="inlineStr">
        <is>
          <t>F3: Outside the catalogue: not generated from a template, not brand-reviewed. Bare document: no language tag, preview text or logo.</t>
        </is>
      </c>
      <c r="R35" s="6" t="inlineStr">
        <is>
          <t>Bring under the catalogue (a flow package or a template file), or record why not.</t>
        </is>
      </c>
      <c r="S35" s="8" t="n"/>
      <c r="T35" s="9" t="n"/>
      <c r="U35" s="8" t="n"/>
    </row>
    <row r="36">
      <c r="A36" s="6" t="inlineStr">
        <is>
          <t>TR-070</t>
        </is>
      </c>
      <c r="B36" s="6" t="inlineStr">
        <is>
          <t>Flow e-mail · no catalogue template</t>
        </is>
      </c>
      <c r="C36" s="6" t="inlineStr">
        <is>
          <t>Governance (Estate Console)</t>
        </is>
      </c>
      <c r="D36" s="6" t="inlineStr">
        <is>
          <t>Run report (final status) to the registry</t>
        </is>
      </c>
      <c r="E36" s="6" t="inlineStr">
        <is>
          <t>08 - GOV - Discover and Register HTTP Consumers</t>
        </is>
      </c>
      <c r="F36" s="6" t="inlineStr">
        <is>
          <t>f5e7679f-ca1b-4216-8a6e-bb6c044ed06f</t>
        </is>
      </c>
      <c r="G36" s="6" t="inlineStr">
        <is>
          <t>Send_Final_Report_Email</t>
        </is>
      </c>
      <c r="H36" s="6" t="inlineStr">
        <is>
          <t>SN-006</t>
        </is>
      </c>
      <c r="I36" s="6" t="n"/>
      <c r="J36" s="6" t="inlineStr">
        <is>
          <t>dgsRegistry@nitda.gov.ng</t>
        </is>
      </c>
      <c r="K36" s="6" t="inlineStr">
        <is>
          <t>inline in the flow definition</t>
        </is>
      </c>
      <c r="L36" s="6" t="inlineStr">
        <is>
          <t>No</t>
        </is>
      </c>
      <c r="M36" s="6" t="inlineStr">
        <is>
          <t>No</t>
        </is>
      </c>
      <c r="N36" s="6" t="inlineStr">
        <is>
          <t>Not covered by any brand check; captured body uses off-palette colours (#004578 and others) and Segoe UI</t>
        </is>
      </c>
      <c r="O36" s="6" t="inlineStr">
        <is>
          <t>Live, unchanged since 2026-10-01 capture</t>
        </is>
      </c>
      <c r="P36" s="7" t="inlineStr">
        <is>
          <t>GAP</t>
        </is>
      </c>
      <c r="Q36" s="6" t="inlineStr">
        <is>
          <t>F3: Outside the catalogue: not generated from a template, not brand-reviewed. Bare document: no language tag, preview text or logo.</t>
        </is>
      </c>
      <c r="R36" s="6" t="inlineStr">
        <is>
          <t>Bring under the catalogue (a flow package or a template file), or record why not.</t>
        </is>
      </c>
      <c r="S36" s="8" t="n"/>
      <c r="T36" s="9" t="n"/>
      <c r="U36" s="8" t="n"/>
    </row>
    <row r="37">
      <c r="A37" s="6" t="inlineStr">
        <is>
          <t>TR-071</t>
        </is>
      </c>
      <c r="B37" s="6" t="inlineStr">
        <is>
          <t>Flow e-mail · no catalogue template</t>
        </is>
      </c>
      <c r="C37" s="6" t="inlineStr">
        <is>
          <t>Correspondence Mailer</t>
        </is>
      </c>
      <c r="D37" s="6" t="inlineStr">
        <is>
          <t>Mailer sign-in code</t>
        </is>
      </c>
      <c r="E37" s="6" t="inlineStr">
        <is>
          <t>DGO_MAIL_AUTH</t>
        </is>
      </c>
      <c r="F37" s="6" t="inlineStr">
        <is>
          <t>7d90f8f0-fa91-4aed-899c-b2bce5b70694</t>
        </is>
      </c>
      <c r="G37" s="6" t="inlineStr">
        <is>
          <t>Send_Code</t>
        </is>
      </c>
      <c r="H37" s="6" t="inlineStr">
        <is>
          <t>operational</t>
        </is>
      </c>
      <c r="I37" s="6" t="n"/>
      <c r="J37" s="6" t="inlineStr">
        <is>
          <t>@outputs('Compose_Challenge')?['email']</t>
        </is>
      </c>
      <c r="K37" s="6" t="inlineStr">
        <is>
          <t>inline in the flow definition</t>
        </is>
      </c>
      <c r="L37" s="6" t="inlineStr">
        <is>
          <t>No</t>
        </is>
      </c>
      <c r="M37" s="6" t="inlineStr">
        <is>
          <t>No</t>
        </is>
      </c>
      <c r="N37" s="6" t="n"/>
      <c r="O37" s="6" t="inlineStr">
        <is>
          <t>Live, unchanged since 2026-10-01 capture</t>
        </is>
      </c>
      <c r="P37" s="7" t="inlineStr">
        <is>
          <t>GAP</t>
        </is>
      </c>
      <c r="Q37" s="6" t="inlineStr">
        <is>
          <t>F4: Outside the catalogue: not generated from a template, not brand-reviewed. Bare three-paragraph body; the code is in the subject line.</t>
        </is>
      </c>
      <c r="R37" s="6" t="inlineStr">
        <is>
          <t>Bring under the catalogue (a flow package or a template file), or record why not.</t>
        </is>
      </c>
      <c r="S37" s="8" t="n"/>
      <c r="T37" s="9" t="n"/>
      <c r="U37" s="8" t="n"/>
    </row>
    <row r="38">
      <c r="A38" s="6" t="inlineStr">
        <is>
          <t>TR-107</t>
        </is>
      </c>
      <c r="B38" s="6" t="inlineStr">
        <is>
          <t>Implied, not sent</t>
        </is>
      </c>
      <c r="C38" s="6" t="inlineStr">
        <is>
          <t>Folio Workspace</t>
        </is>
      </c>
      <c r="D38" s="6" t="inlineStr">
        <is>
          <t>Internal support request ("Ask the support team")</t>
        </is>
      </c>
      <c r="E38" s="6" t="inlineStr">
        <is>
          <t>core/support-service.js → SUBSIDIARY_ACTIONS (CREATESUPPORTREQUEST)</t>
        </is>
      </c>
      <c r="F38" s="6" t="inlineStr">
        <is>
          <t>31c0aaf0-ddbb-478c-9a98-bc013265c4c7</t>
        </is>
      </c>
      <c r="G38" s="6" t="n"/>
      <c r="H38" s="6" t="inlineStr">
        <is>
          <t>none (supportEmail dgs@nitda.gov.ng in config/support-routing.config.js)</t>
        </is>
      </c>
      <c r="I38" s="6" t="n"/>
      <c r="J38" s="6" t="n"/>
      <c r="K38" s="6" t="inlineStr">
        <is>
          <t>none (old library IP-10)</t>
        </is>
      </c>
      <c r="L38" s="6" t="inlineStr">
        <is>
          <t>No</t>
        </is>
      </c>
      <c r="M38" s="6" t="n"/>
      <c r="N38" s="6" t="n"/>
      <c r="O38" s="6" t="n"/>
      <c r="P38" s="7" t="inlineStr">
        <is>
          <t>GAP</t>
        </is>
      </c>
      <c r="Q38" s="6" t="inlineStr">
        <is>
          <t>F5: the flow has no case for CREATESUPPORTREQUEST, so no mail reaches dgs@nitda.gov.ng.</t>
        </is>
      </c>
      <c r="R38" s="6" t="inlineStr">
        <is>
          <t>Decide: implement the route and a template, or remove the panel.</t>
        </is>
      </c>
      <c r="S38" s="8" t="n"/>
      <c r="T38" s="9" t="n"/>
      <c r="U38" s="8" t="n"/>
    </row>
    <row r="39">
      <c r="A39" s="6" t="inlineStr">
        <is>
          <t>TR-091</t>
        </is>
      </c>
      <c r="B39" s="6" t="inlineStr">
        <is>
          <t>Mailer letter</t>
        </is>
      </c>
      <c r="C39" s="6" t="inlineStr">
        <is>
          <t>Correspondence Mailer</t>
        </is>
      </c>
      <c r="D39" s="6" t="inlineStr">
        <is>
          <t>cover-letter — Official letter — cover email (letter attached)</t>
        </is>
      </c>
      <c r="E39" s="6" t="inlineStr">
        <is>
          <t>DGO_MAIL_SEND</t>
        </is>
      </c>
      <c r="F39" s="6" t="inlineStr">
        <is>
          <t>0fb53e16-fa57-41a9-9880-752c3a4d4749</t>
        </is>
      </c>
      <c r="G39" s="6" t="inlineStr">
        <is>
          <t>mailer/js/seed-templates.js</t>
        </is>
      </c>
      <c r="H39" s="6" t="inlineStr">
        <is>
          <t>Mailer correspondence</t>
        </is>
      </c>
      <c r="I39" s="6" t="inlineStr">
        <is>
          <t>correspondent (external)</t>
        </is>
      </c>
      <c r="J39" s="6" t="n"/>
      <c r="K39" s="6" t="inlineStr">
        <is>
          <t>mailer/js/seed-templates.js</t>
        </is>
      </c>
      <c r="L39" s="6" t="inlineStr">
        <is>
          <t>No</t>
        </is>
      </c>
      <c r="M39" s="6" t="inlineStr">
        <is>
          <t>No</t>
        </is>
      </c>
      <c r="N39" s="6" t="inlineStr">
        <is>
          <t>Not covered by any brand check</t>
        </is>
      </c>
      <c r="O39" s="6" t="inlineStr">
        <is>
          <t>Mailer client; send flow live</t>
        </is>
      </c>
      <c r="P39" s="7" t="inlineStr">
        <is>
          <t>GAP</t>
        </is>
      </c>
      <c r="Q39" s="6" t="inlineStr">
        <is>
          <t>F4: starter letter outside the catalogue and every brand check: set in Cambria serif with #1B1B1B, neither a brand face nor a palette value.</t>
        </is>
      </c>
      <c r="R39" s="6" t="inlineStr">
        <is>
          <t>Review against the brand set.</t>
        </is>
      </c>
      <c r="S39" s="8" t="n"/>
      <c r="T39" s="9" t="n"/>
      <c r="U39" s="8" t="n"/>
    </row>
    <row r="40">
      <c r="A40" s="6" t="inlineStr">
        <is>
          <t>TR-092</t>
        </is>
      </c>
      <c r="B40" s="6" t="inlineStr">
        <is>
          <t>Mailer letter</t>
        </is>
      </c>
      <c r="C40" s="6" t="inlineStr">
        <is>
          <t>Correspondence Mailer</t>
        </is>
      </c>
      <c r="D40" s="6" t="inlineStr">
        <is>
          <t>invitation — Invitation — meeting, workshop or engagement</t>
        </is>
      </c>
      <c r="E40" s="6" t="inlineStr">
        <is>
          <t>DGO_MAIL_SEND</t>
        </is>
      </c>
      <c r="F40" s="6" t="inlineStr">
        <is>
          <t>0fb53e16-fa57-41a9-9880-752c3a4d4749</t>
        </is>
      </c>
      <c r="G40" s="6" t="inlineStr">
        <is>
          <t>mailer/js/seed-templates.js</t>
        </is>
      </c>
      <c r="H40" s="6" t="inlineStr">
        <is>
          <t>Mailer correspondence</t>
        </is>
      </c>
      <c r="I40" s="6" t="inlineStr">
        <is>
          <t>correspondent (external)</t>
        </is>
      </c>
      <c r="J40" s="6" t="n"/>
      <c r="K40" s="6" t="inlineStr">
        <is>
          <t>mailer/js/seed-templates.js</t>
        </is>
      </c>
      <c r="L40" s="6" t="inlineStr">
        <is>
          <t>No</t>
        </is>
      </c>
      <c r="M40" s="6" t="inlineStr">
        <is>
          <t>No</t>
        </is>
      </c>
      <c r="N40" s="6" t="inlineStr">
        <is>
          <t>Not covered by any brand check</t>
        </is>
      </c>
      <c r="O40" s="6" t="inlineStr">
        <is>
          <t>Mailer client; send flow live</t>
        </is>
      </c>
      <c r="P40" s="7" t="inlineStr">
        <is>
          <t>GAP</t>
        </is>
      </c>
      <c r="Q40" s="6" t="inlineStr">
        <is>
          <t>F4: starter letter outside the catalogue and every brand check: set in Cambria serif with #1B1B1B, neither a brand face nor a palette value.</t>
        </is>
      </c>
      <c r="R40" s="6" t="inlineStr">
        <is>
          <t>Review against the brand set.</t>
        </is>
      </c>
      <c r="S40" s="8" t="n"/>
      <c r="T40" s="9" t="n"/>
      <c r="U40" s="8" t="n"/>
    </row>
    <row r="41">
      <c r="A41" s="6" t="inlineStr">
        <is>
          <t>TR-093</t>
        </is>
      </c>
      <c r="B41" s="6" t="inlineStr">
        <is>
          <t>Mailer letter</t>
        </is>
      </c>
      <c r="C41" s="6" t="inlineStr">
        <is>
          <t>Correspondence Mailer</t>
        </is>
      </c>
      <c r="D41" s="6" t="inlineStr">
        <is>
          <t>follow-up — Follow-up — reminder on an earlier letter</t>
        </is>
      </c>
      <c r="E41" s="6" t="inlineStr">
        <is>
          <t>DGO_MAIL_SEND</t>
        </is>
      </c>
      <c r="F41" s="6" t="inlineStr">
        <is>
          <t>0fb53e16-fa57-41a9-9880-752c3a4d4749</t>
        </is>
      </c>
      <c r="G41" s="6" t="inlineStr">
        <is>
          <t>mailer/js/seed-templates.js</t>
        </is>
      </c>
      <c r="H41" s="6" t="inlineStr">
        <is>
          <t>Mailer correspondence</t>
        </is>
      </c>
      <c r="I41" s="6" t="inlineStr">
        <is>
          <t>correspondent (external)</t>
        </is>
      </c>
      <c r="J41" s="6" t="n"/>
      <c r="K41" s="6" t="inlineStr">
        <is>
          <t>mailer/js/seed-templates.js</t>
        </is>
      </c>
      <c r="L41" s="6" t="inlineStr">
        <is>
          <t>No</t>
        </is>
      </c>
      <c r="M41" s="6" t="inlineStr">
        <is>
          <t>No</t>
        </is>
      </c>
      <c r="N41" s="6" t="inlineStr">
        <is>
          <t>Not covered by any brand check</t>
        </is>
      </c>
      <c r="O41" s="6" t="inlineStr">
        <is>
          <t>Mailer client; send flow live</t>
        </is>
      </c>
      <c r="P41" s="7" t="inlineStr">
        <is>
          <t>GAP</t>
        </is>
      </c>
      <c r="Q41" s="6" t="inlineStr">
        <is>
          <t>F4: starter letter outside the catalogue and every brand check: set in Cambria serif with #1B1B1B, neither a brand face nor a palette value.</t>
        </is>
      </c>
      <c r="R41" s="6" t="inlineStr">
        <is>
          <t>Review against the brand set.</t>
        </is>
      </c>
      <c r="S41" s="8" t="n"/>
      <c r="T41" s="9" t="n"/>
      <c r="U41" s="8" t="n"/>
    </row>
    <row r="42">
      <c r="A42" s="6" t="inlineStr">
        <is>
          <t>TR-094</t>
        </is>
      </c>
      <c r="B42" s="6" t="inlineStr">
        <is>
          <t>Mailer letter</t>
        </is>
      </c>
      <c r="C42" s="6" t="inlineStr">
        <is>
          <t>Correspondence Mailer</t>
        </is>
      </c>
      <c r="D42" s="6" t="inlineStr">
        <is>
          <t>Letterhead variant — Official Correspondence</t>
        </is>
      </c>
      <c r="E42" s="6" t="inlineStr">
        <is>
          <t>DGO_MAIL_SEND</t>
        </is>
      </c>
      <c r="F42" s="6" t="inlineStr">
        <is>
          <t>0fb53e16-fa57-41a9-9880-752c3a4d4749</t>
        </is>
      </c>
      <c r="G42" s="6" t="inlineStr">
        <is>
          <t>mailer/js/letterhead.js (letterhead.generated.js)</t>
        </is>
      </c>
      <c r="H42" s="6" t="inlineStr">
        <is>
          <t>Mailer correspondence</t>
        </is>
      </c>
      <c r="I42" s="6" t="inlineStr">
        <is>
          <t>correspondent (external)</t>
        </is>
      </c>
      <c r="J42" s="6" t="n"/>
      <c r="K42" s="6" t="inlineStr">
        <is>
          <t>compiled from config/correspondence-email-templates.config.js</t>
        </is>
      </c>
      <c r="L42" s="6" t="inlineStr">
        <is>
          <t>No</t>
        </is>
      </c>
      <c r="M42" s="6" t="inlineStr">
        <is>
          <t>No</t>
        </is>
      </c>
      <c r="N42" s="6" t="inlineStr">
        <is>
          <t>NITDA alone held by test:brand (letterhead.js); colours from the checked config</t>
        </is>
      </c>
      <c r="O42" s="6" t="inlineStr">
        <is>
          <t>Mailer client; send flow live</t>
        </is>
      </c>
      <c r="P42" s="7" t="inlineStr">
        <is>
          <t>GAP</t>
        </is>
      </c>
      <c r="Q42" s="6" t="inlineStr">
        <is>
          <t>F4: byte-identical to the Correspondence Desk letter, with its structural shortfalls (no double frame: DGO_MAIL_SEND passes it through).</t>
        </is>
      </c>
      <c r="R42" s="6" t="inlineStr">
        <is>
          <t>Fixed with the Correspondence Desk rebuild.</t>
        </is>
      </c>
      <c r="S42" s="8" t="n"/>
      <c r="T42" s="9" t="n"/>
      <c r="U42" s="8" t="n"/>
    </row>
    <row r="43">
      <c r="A43" s="6" t="inlineStr">
        <is>
          <t>TR-095</t>
        </is>
      </c>
      <c r="B43" s="6" t="inlineStr">
        <is>
          <t>Mailer letter</t>
        </is>
      </c>
      <c r="C43" s="6" t="inlineStr">
        <is>
          <t>Correspondence Mailer</t>
        </is>
      </c>
      <c r="D43" s="6" t="inlineStr">
        <is>
          <t>Letterhead variant — Request for Information / Documents</t>
        </is>
      </c>
      <c r="E43" s="6" t="inlineStr">
        <is>
          <t>DGO_MAIL_SEND</t>
        </is>
      </c>
      <c r="F43" s="6" t="inlineStr">
        <is>
          <t>0fb53e16-fa57-41a9-9880-752c3a4d4749</t>
        </is>
      </c>
      <c r="G43" s="6" t="inlineStr">
        <is>
          <t>mailer/js/letterhead.js (letterhead.generated.js)</t>
        </is>
      </c>
      <c r="H43" s="6" t="inlineStr">
        <is>
          <t>Mailer correspondence</t>
        </is>
      </c>
      <c r="I43" s="6" t="inlineStr">
        <is>
          <t>correspondent (external)</t>
        </is>
      </c>
      <c r="J43" s="6" t="n"/>
      <c r="K43" s="6" t="inlineStr">
        <is>
          <t>compiled from config/correspondence-email-templates.config.js</t>
        </is>
      </c>
      <c r="L43" s="6" t="inlineStr">
        <is>
          <t>No</t>
        </is>
      </c>
      <c r="M43" s="6" t="inlineStr">
        <is>
          <t>No</t>
        </is>
      </c>
      <c r="N43" s="6" t="inlineStr">
        <is>
          <t>NITDA alone held by test:brand (letterhead.js); colours from the checked config</t>
        </is>
      </c>
      <c r="O43" s="6" t="inlineStr">
        <is>
          <t>Mailer client; send flow live</t>
        </is>
      </c>
      <c r="P43" s="7" t="inlineStr">
        <is>
          <t>GAP</t>
        </is>
      </c>
      <c r="Q43" s="6" t="inlineStr">
        <is>
          <t>F4: byte-identical to the Correspondence Desk letter, with its structural shortfalls (no double frame: DGO_MAIL_SEND passes it through).</t>
        </is>
      </c>
      <c r="R43" s="6" t="inlineStr">
        <is>
          <t>Fixed with the Correspondence Desk rebuild.</t>
        </is>
      </c>
      <c r="S43" s="8" t="n"/>
      <c r="T43" s="9" t="n"/>
      <c r="U43" s="8" t="n"/>
    </row>
    <row r="44">
      <c r="A44" s="6" t="inlineStr">
        <is>
          <t>TR-096</t>
        </is>
      </c>
      <c r="B44" s="6" t="inlineStr">
        <is>
          <t>Mailer letter</t>
        </is>
      </c>
      <c r="C44" s="6" t="inlineStr">
        <is>
          <t>Correspondence Mailer</t>
        </is>
      </c>
      <c r="D44" s="6" t="inlineStr">
        <is>
          <t>Letterhead variant — Document Transmittal</t>
        </is>
      </c>
      <c r="E44" s="6" t="inlineStr">
        <is>
          <t>DGO_MAIL_SEND</t>
        </is>
      </c>
      <c r="F44" s="6" t="inlineStr">
        <is>
          <t>0fb53e16-fa57-41a9-9880-752c3a4d4749</t>
        </is>
      </c>
      <c r="G44" s="6" t="inlineStr">
        <is>
          <t>mailer/js/letterhead.js (letterhead.generated.js)</t>
        </is>
      </c>
      <c r="H44" s="6" t="inlineStr">
        <is>
          <t>Mailer correspondence</t>
        </is>
      </c>
      <c r="I44" s="6" t="inlineStr">
        <is>
          <t>correspondent (external)</t>
        </is>
      </c>
      <c r="J44" s="6" t="n"/>
      <c r="K44" s="6" t="inlineStr">
        <is>
          <t>compiled from config/correspondence-email-templates.config.js</t>
        </is>
      </c>
      <c r="L44" s="6" t="inlineStr">
        <is>
          <t>No</t>
        </is>
      </c>
      <c r="M44" s="6" t="inlineStr">
        <is>
          <t>No</t>
        </is>
      </c>
      <c r="N44" s="6" t="inlineStr">
        <is>
          <t>NITDA alone held by test:brand (letterhead.js); colours from the checked config</t>
        </is>
      </c>
      <c r="O44" s="6" t="inlineStr">
        <is>
          <t>Mailer client; send flow live</t>
        </is>
      </c>
      <c r="P44" s="7" t="inlineStr">
        <is>
          <t>GAP</t>
        </is>
      </c>
      <c r="Q44" s="6" t="inlineStr">
        <is>
          <t>F4: byte-identical to the Correspondence Desk letter, with its structural shortfalls (no double frame: DGO_MAIL_SEND passes it through).</t>
        </is>
      </c>
      <c r="R44" s="6" t="inlineStr">
        <is>
          <t>Fixed with the Correspondence Desk rebuild.</t>
        </is>
      </c>
      <c r="S44" s="8" t="n"/>
      <c r="T44" s="9" t="n"/>
      <c r="U44" s="8" t="n"/>
    </row>
    <row r="45">
      <c r="A45" s="6" t="inlineStr">
        <is>
          <t>TR-097</t>
        </is>
      </c>
      <c r="B45" s="6" t="inlineStr">
        <is>
          <t>Mailer letter</t>
        </is>
      </c>
      <c r="C45" s="6" t="inlineStr">
        <is>
          <t>Correspondence Mailer</t>
        </is>
      </c>
      <c r="D45" s="6" t="inlineStr">
        <is>
          <t>Letterhead variant — Meeting / Engagement Invitation</t>
        </is>
      </c>
      <c r="E45" s="6" t="inlineStr">
        <is>
          <t>DGO_MAIL_SEND</t>
        </is>
      </c>
      <c r="F45" s="6" t="inlineStr">
        <is>
          <t>0fb53e16-fa57-41a9-9880-752c3a4d4749</t>
        </is>
      </c>
      <c r="G45" s="6" t="inlineStr">
        <is>
          <t>mailer/js/letterhead.js (letterhead.generated.js)</t>
        </is>
      </c>
      <c r="H45" s="6" t="inlineStr">
        <is>
          <t>Mailer correspondence</t>
        </is>
      </c>
      <c r="I45" s="6" t="inlineStr">
        <is>
          <t>correspondent (external)</t>
        </is>
      </c>
      <c r="J45" s="6" t="n"/>
      <c r="K45" s="6" t="inlineStr">
        <is>
          <t>compiled from config/correspondence-email-templates.config.js</t>
        </is>
      </c>
      <c r="L45" s="6" t="inlineStr">
        <is>
          <t>No</t>
        </is>
      </c>
      <c r="M45" s="6" t="inlineStr">
        <is>
          <t>No</t>
        </is>
      </c>
      <c r="N45" s="6" t="inlineStr">
        <is>
          <t>NITDA alone held by test:brand (letterhead.js); colours from the checked config</t>
        </is>
      </c>
      <c r="O45" s="6" t="inlineStr">
        <is>
          <t>Mailer client; send flow live</t>
        </is>
      </c>
      <c r="P45" s="7" t="inlineStr">
        <is>
          <t>GAP</t>
        </is>
      </c>
      <c r="Q45" s="6" t="inlineStr">
        <is>
          <t>F4: byte-identical to the Correspondence Desk letter, with its structural shortfalls (no double frame: DGO_MAIL_SEND passes it through).</t>
        </is>
      </c>
      <c r="R45" s="6" t="inlineStr">
        <is>
          <t>Fixed with the Correspondence Desk rebuild.</t>
        </is>
      </c>
      <c r="S45" s="8" t="n"/>
      <c r="T45" s="9" t="n"/>
      <c r="U45" s="8" t="n"/>
    </row>
    <row r="46">
      <c r="A46" s="6" t="inlineStr">
        <is>
          <t>TR-098</t>
        </is>
      </c>
      <c r="B46" s="6" t="inlineStr">
        <is>
          <t>Mailer letter</t>
        </is>
      </c>
      <c r="C46" s="6" t="inlineStr">
        <is>
          <t>Correspondence Mailer</t>
        </is>
      </c>
      <c r="D46" s="6" t="inlineStr">
        <is>
          <t>Letterhead variant — Circular / General Notice</t>
        </is>
      </c>
      <c r="E46" s="6" t="inlineStr">
        <is>
          <t>DGO_MAIL_SEND</t>
        </is>
      </c>
      <c r="F46" s="6" t="inlineStr">
        <is>
          <t>0fb53e16-fa57-41a9-9880-752c3a4d4749</t>
        </is>
      </c>
      <c r="G46" s="6" t="inlineStr">
        <is>
          <t>mailer/js/letterhead.js (letterhead.generated.js)</t>
        </is>
      </c>
      <c r="H46" s="6" t="inlineStr">
        <is>
          <t>Mailer correspondence</t>
        </is>
      </c>
      <c r="I46" s="6" t="inlineStr">
        <is>
          <t>correspondent (external)</t>
        </is>
      </c>
      <c r="J46" s="6" t="n"/>
      <c r="K46" s="6" t="inlineStr">
        <is>
          <t>compiled from config/correspondence-email-templates.config.js</t>
        </is>
      </c>
      <c r="L46" s="6" t="inlineStr">
        <is>
          <t>No</t>
        </is>
      </c>
      <c r="M46" s="6" t="inlineStr">
        <is>
          <t>No</t>
        </is>
      </c>
      <c r="N46" s="6" t="inlineStr">
        <is>
          <t>NITDA alone held by test:brand (letterhead.js); colours from the checked config</t>
        </is>
      </c>
      <c r="O46" s="6" t="inlineStr">
        <is>
          <t>Mailer client; send flow live</t>
        </is>
      </c>
      <c r="P46" s="7" t="inlineStr">
        <is>
          <t>GAP</t>
        </is>
      </c>
      <c r="Q46" s="6" t="inlineStr">
        <is>
          <t>F4: byte-identical to the Correspondence Desk letter, with its structural shortfalls (no double frame: DGO_MAIL_SEND passes it through).</t>
        </is>
      </c>
      <c r="R46" s="6" t="inlineStr">
        <is>
          <t>Fixed with the Correspondence Desk rebuild.</t>
        </is>
      </c>
      <c r="S46" s="8" t="n"/>
      <c r="T46" s="9" t="n"/>
      <c r="U46" s="8" t="n"/>
    </row>
    <row r="47">
      <c r="A47" s="6" t="inlineStr">
        <is>
          <t>TR-099</t>
        </is>
      </c>
      <c r="B47" s="6" t="inlineStr">
        <is>
          <t>Mailer letter</t>
        </is>
      </c>
      <c r="C47" s="6" t="inlineStr">
        <is>
          <t>Correspondence Mailer</t>
        </is>
      </c>
      <c r="D47" s="6" t="inlineStr">
        <is>
          <t>Letterhead variant — Closure / Final Response</t>
        </is>
      </c>
      <c r="E47" s="6" t="inlineStr">
        <is>
          <t>DGO_MAIL_SEND</t>
        </is>
      </c>
      <c r="F47" s="6" t="inlineStr">
        <is>
          <t>0fb53e16-fa57-41a9-9880-752c3a4d4749</t>
        </is>
      </c>
      <c r="G47" s="6" t="inlineStr">
        <is>
          <t>mailer/js/letterhead.js (letterhead.generated.js)</t>
        </is>
      </c>
      <c r="H47" s="6" t="inlineStr">
        <is>
          <t>Mailer correspondence</t>
        </is>
      </c>
      <c r="I47" s="6" t="inlineStr">
        <is>
          <t>correspondent (external)</t>
        </is>
      </c>
      <c r="J47" s="6" t="n"/>
      <c r="K47" s="6" t="inlineStr">
        <is>
          <t>compiled from config/correspondence-email-templates.config.js</t>
        </is>
      </c>
      <c r="L47" s="6" t="inlineStr">
        <is>
          <t>No</t>
        </is>
      </c>
      <c r="M47" s="6" t="inlineStr">
        <is>
          <t>No</t>
        </is>
      </c>
      <c r="N47" s="6" t="inlineStr">
        <is>
          <t>NITDA alone held by test:brand (letterhead.js); colours from the checked config</t>
        </is>
      </c>
      <c r="O47" s="6" t="inlineStr">
        <is>
          <t>Mailer client; send flow live</t>
        </is>
      </c>
      <c r="P47" s="7" t="inlineStr">
        <is>
          <t>GAP</t>
        </is>
      </c>
      <c r="Q47" s="6" t="inlineStr">
        <is>
          <t>F4: byte-identical to the Correspondence Desk letter, with its structural shortfalls (no double frame: DGO_MAIL_SEND passes it through).</t>
        </is>
      </c>
      <c r="R47" s="6" t="inlineStr">
        <is>
          <t>Fixed with the Correspondence Desk rebuild.</t>
        </is>
      </c>
      <c r="S47" s="8" t="n"/>
      <c r="T47" s="9" t="n"/>
      <c r="U47" s="8" t="n"/>
    </row>
    <row r="48">
      <c r="A48" s="6" t="inlineStr">
        <is>
          <t>TR-036</t>
        </is>
      </c>
      <c r="B48" s="6" t="inlineStr">
        <is>
          <t>Flow e-mail · catalogue</t>
        </is>
      </c>
      <c r="C48" s="6" t="inlineStr">
        <is>
          <t>Folio Workspace</t>
        </is>
      </c>
      <c r="D48" s="6" t="inlineStr">
        <is>
          <t>BULK_ASSIGNMENT.an-email-v2-main-5 — an-email-v2-main-5</t>
        </is>
      </c>
      <c r="E48" s="6" t="inlineStr">
        <is>
          <t>BULK_OPS_DATA_RETRIEVAL_HTTP</t>
        </is>
      </c>
      <c r="F48" s="6" t="inlineStr">
        <is>
          <t>5aab9e61-ab9f-4af1-9f2b-eaba23a1bf06</t>
        </is>
      </c>
      <c r="G48" s="6" t="inlineStr">
        <is>
          <t>Send_an_email_(V2)_Main_5</t>
        </is>
      </c>
      <c r="H48" s="6" t="inlineStr">
        <is>
          <t>RN-010, RN-011, RN-038</t>
        </is>
      </c>
      <c r="I48" s="6" t="n"/>
      <c r="J48" s="6" t="inlineStr">
        <is>
          <t>@outputs('Compose_Email_To_2')</t>
        </is>
      </c>
      <c r="K48" s="6" t="inlineStr">
        <is>
          <t>email-catalogue/shared/an-email-v2-main-5.html</t>
        </is>
      </c>
      <c r="L48" s="6" t="inlineStr">
        <is>
          <t>Yes</t>
        </is>
      </c>
      <c r="M48" s="6" t="inlineStr">
        <is>
          <t>Yes</t>
        </is>
      </c>
      <c r="N48" s="6" t="inlineStr">
        <is>
          <t>Palette, alt text, width and image host checked (test:emailcatalogue, test:brand; ACCEPTANCE 51/51)</t>
        </is>
      </c>
      <c r="O48" s="6" t="inlineStr">
        <is>
          <t>Live, identical to template</t>
        </is>
      </c>
      <c r="P48" s="10" t="inlineStr">
        <is>
          <t>DECISION</t>
        </is>
      </c>
      <c r="Q48" s="6" t="inlineStr">
        <is>
          <t>B2: internal message without the DGO Digital Ops logo that the owner's 2026-10-18 resolution puts on internal mail.</t>
        </is>
      </c>
      <c r="R48" s="6" t="inlineStr">
        <is>
          <t>Owner to decide: add the DGO logo, or record the exception.</t>
        </is>
      </c>
      <c r="S48" s="8" t="n"/>
      <c r="T48" s="9" t="n"/>
      <c r="U48" s="8" t="n"/>
    </row>
    <row r="49">
      <c r="A49" s="6" t="inlineStr">
        <is>
          <t>TR-037</t>
        </is>
      </c>
      <c r="B49" s="6" t="inlineStr">
        <is>
          <t>Flow e-mail · catalogue</t>
        </is>
      </c>
      <c r="C49" s="6" t="inlineStr">
        <is>
          <t>Folio Workspace</t>
        </is>
      </c>
      <c r="D49" s="6" t="inlineStr">
        <is>
          <t>BULK_ASSIGNMENT.bulk-failure — bulk-failure</t>
        </is>
      </c>
      <c r="E49" s="6" t="inlineStr">
        <is>
          <t>BULK_OPS_DATA_RETRIEVAL_HTTP</t>
        </is>
      </c>
      <c r="F49" s="6" t="inlineStr">
        <is>
          <t>5aab9e61-ab9f-4af1-9f2b-eaba23a1bf06</t>
        </is>
      </c>
      <c r="G49" s="6" t="inlineStr">
        <is>
          <t>Send_Bulk_Failure_Email</t>
        </is>
      </c>
      <c r="H49" s="6" t="inlineStr">
        <is>
          <t>operational (no RN row)</t>
        </is>
      </c>
      <c r="I49" s="6" t="n"/>
      <c r="J49" s="6" t="inlineStr">
        <is>
          <t>@if(contains(outputs('Compose_Bulk_Task')?['CreatedBy'],'@'),outputs('Compose_Bulk_Task')?['CreatedBy'],'dgsregistry@nitda.gov.ng')</t>
        </is>
      </c>
      <c r="K49" s="6" t="inlineStr">
        <is>
          <t>email-catalogue/BULK_ASSIGNMENT__BULK_OPS_DATA_RETRIEVAL_HTTP__5aab9e61/Send_Bulk_Failure_Email.html</t>
        </is>
      </c>
      <c r="L49" s="6" t="inlineStr">
        <is>
          <t>Yes</t>
        </is>
      </c>
      <c r="M49" s="6" t="inlineStr">
        <is>
          <t>Yes</t>
        </is>
      </c>
      <c r="N49" s="6" t="inlineStr">
        <is>
          <t>Palette, alt text, width and image host checked (test:emailcatalogue, test:brand; ACCEPTANCE 51/51)</t>
        </is>
      </c>
      <c r="O49" s="6" t="inlineStr">
        <is>
          <t>Live, identical to template</t>
        </is>
      </c>
      <c r="P49" s="10" t="inlineStr">
        <is>
          <t>DECISION</t>
        </is>
      </c>
      <c r="Q49" s="6" t="inlineStr">
        <is>
          <t>B2: internal message without the DGO Digital Ops logo that the owner's 2026-10-18 resolution puts on internal mail.</t>
        </is>
      </c>
      <c r="R49" s="6" t="inlineStr">
        <is>
          <t>Owner to decide: add the DGO logo, or record the exception.</t>
        </is>
      </c>
      <c r="S49" s="8" t="n"/>
      <c r="T49" s="9" t="n"/>
      <c r="U49" s="8" t="n"/>
    </row>
    <row r="50">
      <c r="A50" s="6" t="inlineStr">
        <is>
          <t>TR-039</t>
        </is>
      </c>
      <c r="B50" s="6" t="inlineStr">
        <is>
          <t>Flow e-mail · catalogue</t>
        </is>
      </c>
      <c r="C50" s="6" t="inlineStr">
        <is>
          <t>Folio Workspace</t>
        </is>
      </c>
      <c r="D50" s="6" t="inlineStr">
        <is>
          <t>EMAIL_RELATED_TASK.an-email-v2-main-1-1-1 — an-email-v2-main-1-1-1</t>
        </is>
      </c>
      <c r="E50" s="6" t="inlineStr">
        <is>
          <t>IP_Create_Task_for_received_Email_Endpoint</t>
        </is>
      </c>
      <c r="F50" s="6" t="inlineStr">
        <is>
          <t>ab1a3555-7fce-4bfe-a193-b8b84654b0a4</t>
        </is>
      </c>
      <c r="G50" s="6" t="inlineStr">
        <is>
          <t>Send_an_email_(V2)_Main_1_1_1</t>
        </is>
      </c>
      <c r="H50" s="6" t="inlineStr">
        <is>
          <t>RN-009</t>
        </is>
      </c>
      <c r="I50" s="6" t="n"/>
      <c r="J50" s="6" t="inlineStr">
        <is>
          <t>@toLower(trim(string(coalesce(outputs('Get_item_Task_Email')?['body/AssignedTo'],outputs('Compose_Email_Task_Input')?['NewActivityTask']?['AssignedTo'],''))))</t>
        </is>
      </c>
      <c r="K50" s="6" t="inlineStr">
        <is>
          <t>email-catalogue/EMAIL_RELATED_TASK__IP_Create_Task_for_received_Email_Endpoint__ab1a3555/Send_an_email_V2_Main_1_1_1.html</t>
        </is>
      </c>
      <c r="L50" s="6" t="inlineStr">
        <is>
          <t>Yes</t>
        </is>
      </c>
      <c r="M50" s="6" t="inlineStr">
        <is>
          <t>Yes</t>
        </is>
      </c>
      <c r="N50" s="6" t="inlineStr">
        <is>
          <t>Palette, alt text, width and image host checked (test:emailcatalogue, test:brand; ACCEPTANCE 51/51)</t>
        </is>
      </c>
      <c r="O50" s="6" t="inlineStr">
        <is>
          <t>Live, identical to template</t>
        </is>
      </c>
      <c r="P50" s="10" t="inlineStr">
        <is>
          <t>DECISION</t>
        </is>
      </c>
      <c r="Q50" s="6" t="inlineStr">
        <is>
          <t>B2: internal message without the DGO Digital Ops logo that the owner's 2026-10-18 resolution puts on internal mail.</t>
        </is>
      </c>
      <c r="R50" s="6" t="inlineStr">
        <is>
          <t>Owner to decide: add the DGO logo, or record the exception.</t>
        </is>
      </c>
      <c r="S50" s="8" t="n"/>
      <c r="T50" s="9" t="n"/>
      <c r="U50" s="8" t="n"/>
    </row>
    <row r="51">
      <c r="A51" s="6" t="inlineStr">
        <is>
          <t>TR-044</t>
        </is>
      </c>
      <c r="B51" s="6" t="inlineStr">
        <is>
          <t>Flow e-mail · catalogue</t>
        </is>
      </c>
      <c r="C51" s="6" t="inlineStr">
        <is>
          <t>Flow estate (background)</t>
        </is>
      </c>
      <c r="D51" s="6" t="inlineStr">
        <is>
          <t>NOKEY.digest — digest</t>
        </is>
      </c>
      <c r="E51" s="6" t="inlineStr">
        <is>
          <t>AUTO_SCHEDULED_SWEEP</t>
        </is>
      </c>
      <c r="F51" s="6" t="inlineStr">
        <is>
          <t>8c19b45c-4174-4d2f-9429-ffd08dd1a5ae</t>
        </is>
      </c>
      <c r="G51" s="6" t="inlineStr">
        <is>
          <t>Send_Digest_Email</t>
        </is>
      </c>
      <c r="H51" s="6" t="inlineStr">
        <is>
          <t>RN-013, RN-014</t>
        </is>
      </c>
      <c r="I51" s="6" t="n"/>
      <c r="J51" s="6" t="inlineStr">
        <is>
          <t>@if(equals(outputs('Compose_Notify_Config')?['staffRecipients'],true),items('Foreach_Digest_Recipient'),outputs('Compose_Notify_Config')?['opsTo'])</t>
        </is>
      </c>
      <c r="K51" s="6" t="inlineStr">
        <is>
          <t>email-catalogue/NOKEY__AUTO_SCHEDULED_SWEEP__8c19b45c/Send_Digest_Email.html</t>
        </is>
      </c>
      <c r="L51" s="6" t="inlineStr">
        <is>
          <t>Yes</t>
        </is>
      </c>
      <c r="M51" s="6" t="inlineStr">
        <is>
          <t>Yes</t>
        </is>
      </c>
      <c r="N51" s="6" t="inlineStr">
        <is>
          <t>Palette, alt text, width and image host checked (test:emailcatalogue, test:brand; ACCEPTANCE 51/51)</t>
        </is>
      </c>
      <c r="O51" s="6" t="inlineStr">
        <is>
          <t>Live, identical to template</t>
        </is>
      </c>
      <c r="P51" s="10" t="inlineStr">
        <is>
          <t>DECISION</t>
        </is>
      </c>
      <c r="Q51" s="6" t="inlineStr">
        <is>
          <t>B2: internal message without the DGO Digital Ops logo that the owner's 2026-10-18 resolution puts on internal mail.</t>
        </is>
      </c>
      <c r="R51" s="6" t="inlineStr">
        <is>
          <t>Owner to decide: add the DGO logo, or record the exception.</t>
        </is>
      </c>
      <c r="S51" s="8" t="n"/>
      <c r="T51" s="9" t="n"/>
      <c r="U51" s="8" t="n"/>
    </row>
    <row r="52">
      <c r="A52" s="6" t="inlineStr">
        <is>
          <t>TR-045</t>
        </is>
      </c>
      <c r="B52" s="6" t="inlineStr">
        <is>
          <t>Flow e-mail · catalogue</t>
        </is>
      </c>
      <c r="C52" s="6" t="inlineStr">
        <is>
          <t>Flow estate (background)</t>
        </is>
      </c>
      <c r="D52" s="6" t="inlineStr">
        <is>
          <t>NOKEY.task-reminder — task-reminder</t>
        </is>
      </c>
      <c r="E52" s="6" t="inlineStr">
        <is>
          <t>AUTO_SCHEDULED_SWEEP</t>
        </is>
      </c>
      <c r="F52" s="6" t="inlineStr">
        <is>
          <t>8c19b45c-4174-4d2f-9429-ffd08dd1a5ae</t>
        </is>
      </c>
      <c r="G52" s="6" t="inlineStr">
        <is>
          <t>Send_Task_Reminder_Email</t>
        </is>
      </c>
      <c r="H52" s="6" t="inlineStr">
        <is>
          <t>RN-035</t>
        </is>
      </c>
      <c r="I52" s="6" t="n"/>
      <c r="J52" s="6" t="inlineStr">
        <is>
          <t>@if(equals(outputs('Compose_Notify_Config')?['staffRecipients'],true),toLower(trim(string(coalesce(items('Foreach_Due_Reminder')?['AssignedTo'],'')))),outputs('</t>
        </is>
      </c>
      <c r="K52" s="6" t="inlineStr">
        <is>
          <t>email-catalogue/NOKEY__AUTO_SCHEDULED_SWEEP__8c19b45c/Send_Task_Reminder_Email.html</t>
        </is>
      </c>
      <c r="L52" s="6" t="inlineStr">
        <is>
          <t>Yes</t>
        </is>
      </c>
      <c r="M52" s="6" t="inlineStr">
        <is>
          <t>Automated checks only (added after the review)</t>
        </is>
      </c>
      <c r="N52" s="6" t="inlineStr">
        <is>
          <t>Palette, alt text, width and image host checked (test:emailcatalogue, test:brand; ACCEPTANCE 51/51)</t>
        </is>
      </c>
      <c r="O52" s="6" t="inlineStr">
        <is>
          <t>Live, identical to template</t>
        </is>
      </c>
      <c r="P52" s="10" t="inlineStr">
        <is>
          <t>DECISION</t>
        </is>
      </c>
      <c r="Q52" s="6" t="inlineStr">
        <is>
          <t>B2: internal message without the DGO Digital Ops logo that the owner's 2026-10-18 resolution puts on internal mail.</t>
        </is>
      </c>
      <c r="R52" s="6" t="inlineStr">
        <is>
          <t>Owner to decide: add the DGO logo, or record the exception.</t>
        </is>
      </c>
      <c r="S52" s="8" t="n"/>
      <c r="T52" s="9" t="n"/>
      <c r="U52" s="8" t="n"/>
    </row>
    <row r="53">
      <c r="A53" s="6" t="inlineStr">
        <is>
          <t>TR-048</t>
        </is>
      </c>
      <c r="B53" s="6" t="inlineStr">
        <is>
          <t>Flow e-mail · catalogue</t>
        </is>
      </c>
      <c r="C53" s="6" t="inlineStr">
        <is>
          <t>Flow estate (background)</t>
        </is>
      </c>
      <c r="D53" s="6" t="inlineStr">
        <is>
          <t>NOKEY.an-email-v2 — an-email-v2</t>
        </is>
      </c>
      <c r="E53" s="6" t="inlineStr">
        <is>
          <t>Folio_Incoming_Correspondence_Scan_Processing_Flow</t>
        </is>
      </c>
      <c r="F53" s="6" t="inlineStr">
        <is>
          <t>197527c8-e76c-4f7d-81b8-3cb5c88b1c6c</t>
        </is>
      </c>
      <c r="G53" s="6" t="inlineStr">
        <is>
          <t>Send_an_email_(V2)</t>
        </is>
      </c>
      <c r="H53" s="6" t="inlineStr">
        <is>
          <t>RN-029</t>
        </is>
      </c>
      <c r="I53" s="6" t="n"/>
      <c r="J53" s="6" t="inlineStr">
        <is>
          <t>dgsregistry@nitda.gov.ng</t>
        </is>
      </c>
      <c r="K53" s="6" t="inlineStr">
        <is>
          <t>email-catalogue/NOKEY__Folio_Incoming_Correspondence_Scan_Processing_Flow__197527c8/Send_an_email_V2.html</t>
        </is>
      </c>
      <c r="L53" s="6" t="inlineStr">
        <is>
          <t>Yes</t>
        </is>
      </c>
      <c r="M53" s="6" t="inlineStr">
        <is>
          <t>Yes</t>
        </is>
      </c>
      <c r="N53" s="6" t="inlineStr">
        <is>
          <t>On palette and brand host, but still PENDING in tests/brand-authority.test.mjs (B3)</t>
        </is>
      </c>
      <c r="O53" s="6" t="inlineStr">
        <is>
          <t>Live, identical to template</t>
        </is>
      </c>
      <c r="P53" s="10" t="inlineStr">
        <is>
          <t>DECISION</t>
        </is>
      </c>
      <c r="Q53" s="6" t="inlineStr">
        <is>
          <t>Fixed recipient dgsregistry@nitda.gov.ng (by owner decision for registry mail). B2: internal message without the DGO Digital Ops logo that the owner's 2026-10-18 resolution puts on internal mail.</t>
        </is>
      </c>
      <c r="R53" s="6" t="inlineStr">
        <is>
          <t>Owner to decide: add the DGO logo, or record the exception.</t>
        </is>
      </c>
      <c r="S53" s="8" t="n"/>
      <c r="T53" s="9" t="n"/>
      <c r="U53" s="8" t="n"/>
    </row>
    <row r="54">
      <c r="A54" s="6" t="inlineStr">
        <is>
          <t>TR-049</t>
        </is>
      </c>
      <c r="B54" s="6" t="inlineStr">
        <is>
          <t>Flow e-mail · catalogue</t>
        </is>
      </c>
      <c r="C54" s="6" t="inlineStr">
        <is>
          <t>Folio Workspace</t>
        </is>
      </c>
      <c r="D54" s="6" t="inlineStr">
        <is>
          <t>OTP_GENERATE.an-email-v2 — an-email-v2</t>
        </is>
      </c>
      <c r="E54" s="6" t="inlineStr">
        <is>
          <t>IP_OTP_GENERATE</t>
        </is>
      </c>
      <c r="F54" s="6" t="inlineStr">
        <is>
          <t>e5632336-641f-4b9b-bd93-99185b5eb975</t>
        </is>
      </c>
      <c r="G54" s="6" t="inlineStr">
        <is>
          <t>Send_an_email_(V2)</t>
        </is>
      </c>
      <c r="H54" s="6" t="inlineStr">
        <is>
          <t>RN-016</t>
        </is>
      </c>
      <c r="I54" s="6" t="n"/>
      <c r="J54" s="6" t="inlineStr">
        <is>
          <t>@outputs('Create_item_OTP_Record')?['body/Title']</t>
        </is>
      </c>
      <c r="K54" s="6" t="inlineStr">
        <is>
          <t>email-catalogue/shared/an-email-v2.html</t>
        </is>
      </c>
      <c r="L54" s="6" t="inlineStr">
        <is>
          <t>Yes</t>
        </is>
      </c>
      <c r="M54" s="6" t="inlineStr">
        <is>
          <t>Yes</t>
        </is>
      </c>
      <c r="N54" s="6" t="inlineStr">
        <is>
          <t>Palette, alt text, width and image host checked (test:emailcatalogue, test:brand; ACCEPTANCE 51/51)</t>
        </is>
      </c>
      <c r="O54" s="6" t="inlineStr">
        <is>
          <t>Live, identical to template</t>
        </is>
      </c>
      <c r="P54" s="10" t="inlineStr">
        <is>
          <t>DECISION</t>
        </is>
      </c>
      <c r="Q54" s="6" t="inlineStr">
        <is>
          <t>B2: internal message without the DGO Digital Ops logo that the owner's 2026-10-18 resolution puts on internal mail.</t>
        </is>
      </c>
      <c r="R54" s="6" t="inlineStr">
        <is>
          <t>Owner to decide: add the DGO logo, or record the exception.</t>
        </is>
      </c>
      <c r="S54" s="8" t="n"/>
      <c r="T54" s="9" t="n"/>
      <c r="U54" s="8" t="n"/>
    </row>
    <row r="55">
      <c r="A55" s="6" t="inlineStr">
        <is>
          <t>TR-050</t>
        </is>
      </c>
      <c r="B55" s="6" t="inlineStr">
        <is>
          <t>Flow e-mail · catalogue</t>
        </is>
      </c>
      <c r="C55" s="6" t="inlineStr">
        <is>
          <t>Folio Workspace</t>
        </is>
      </c>
      <c r="D55" s="6" t="inlineStr">
        <is>
          <t>SINGLE_ASSIGNMENT.an-email-v2-main-5 — an-email-v2-main-5</t>
        </is>
      </c>
      <c r="E55" s="6" t="inlineStr">
        <is>
          <t>Single_Task_Assignment</t>
        </is>
      </c>
      <c r="F55" s="6" t="inlineStr">
        <is>
          <t>3caf9458-8d95-4740-a01b-6803dad97d34</t>
        </is>
      </c>
      <c r="G55" s="6" t="inlineStr">
        <is>
          <t>Send_an_email_(V2)_Main_5</t>
        </is>
      </c>
      <c r="H55" s="6" t="inlineStr">
        <is>
          <t>RN-009, RN-011, RN-038</t>
        </is>
      </c>
      <c r="I55" s="6" t="n"/>
      <c r="J55" s="6" t="inlineStr">
        <is>
          <t>@outputs('Compose_Email_To_2')</t>
        </is>
      </c>
      <c r="K55" s="6" t="inlineStr">
        <is>
          <t>email-catalogue/shared/an-email-v2-main-5.html</t>
        </is>
      </c>
      <c r="L55" s="6" t="inlineStr">
        <is>
          <t>Yes</t>
        </is>
      </c>
      <c r="M55" s="6" t="inlineStr">
        <is>
          <t>Yes</t>
        </is>
      </c>
      <c r="N55" s="6" t="inlineStr">
        <is>
          <t>Palette, alt text, width and image host checked (test:emailcatalogue, test:brand; ACCEPTANCE 51/51)</t>
        </is>
      </c>
      <c r="O55" s="6" t="inlineStr">
        <is>
          <t>Live, identical to template</t>
        </is>
      </c>
      <c r="P55" s="10" t="inlineStr">
        <is>
          <t>DECISION</t>
        </is>
      </c>
      <c r="Q55" s="6" t="inlineStr">
        <is>
          <t>B2: internal message without the DGO Digital Ops logo that the owner's 2026-10-18 resolution puts on internal mail.</t>
        </is>
      </c>
      <c r="R55" s="6" t="inlineStr">
        <is>
          <t>Owner to decide: add the DGO logo, or record the exception.</t>
        </is>
      </c>
      <c r="S55" s="8" t="n"/>
      <c r="T55" s="9" t="n"/>
      <c r="U55" s="8" t="n"/>
    </row>
    <row r="56">
      <c r="A56" s="6" t="inlineStr">
        <is>
          <t>TR-108</t>
        </is>
      </c>
      <c r="B56" s="6" t="inlineStr">
        <is>
          <t>Implied, not sent</t>
        </is>
      </c>
      <c r="C56" s="6" t="inlineStr">
        <is>
          <t>Document Portal</t>
        </is>
      </c>
      <c r="D56" s="6" t="inlineStr">
        <is>
          <t>Citizen told acknowledgement is overdue (3 working days missed)</t>
        </is>
      </c>
      <c r="E56" s="6" t="inlineStr">
        <is>
          <t>none (CG_Portal_Daily_Sweep tells the registry only)</t>
        </is>
      </c>
      <c r="F56" s="6" t="inlineStr">
        <is>
          <t>f12aec6d-1554-483d-a525-a96ddb60d06f</t>
        </is>
      </c>
      <c r="G56" s="6" t="n"/>
      <c r="H56" s="6" t="inlineStr">
        <is>
          <t>none (Portal promise: acknowledged within 3 working days)</t>
        </is>
      </c>
      <c r="I56" s="6" t="n"/>
      <c r="J56" s="6" t="n"/>
      <c r="K56" s="6" t="inlineStr">
        <is>
          <t>none (old library DP-08)</t>
        </is>
      </c>
      <c r="L56" s="6" t="inlineStr">
        <is>
          <t>No</t>
        </is>
      </c>
      <c r="M56" s="6" t="n"/>
      <c r="N56" s="6" t="n"/>
      <c r="O56" s="6" t="n"/>
      <c r="P56" s="10" t="inlineStr">
        <is>
          <t>DECISION</t>
        </is>
      </c>
      <c r="Q56" s="6" t="inlineStr">
        <is>
          <t>F5: the tracking page shows "overdue"; no e-mail tells the citizen.</t>
        </is>
      </c>
      <c r="R56" s="6" t="inlineStr">
        <is>
          <t>Owner decision: add a notice, or leave the tracking page as the only signal.</t>
        </is>
      </c>
      <c r="S56" s="8" t="n"/>
      <c r="T56" s="9" t="n"/>
      <c r="U56" s="8" t="n"/>
    </row>
    <row r="57">
      <c r="A57" s="6" t="inlineStr">
        <is>
          <t>TR-100</t>
        </is>
      </c>
      <c r="B57" s="6" t="inlineStr">
        <is>
          <t>Mailer letter</t>
        </is>
      </c>
      <c r="C57" s="6" t="inlineStr">
        <is>
          <t>Correspondence Mailer</t>
        </is>
      </c>
      <c r="D57" s="6" t="inlineStr">
        <is>
          <t>Operator-authored letter templates</t>
        </is>
      </c>
      <c r="E57" s="6" t="inlineStr">
        <is>
          <t>DGO_MAIL_TEMPLATES / DGO_MAIL_SEND</t>
        </is>
      </c>
      <c r="F57" s="6" t="inlineStr">
        <is>
          <t>176f7af5-7ffc-41d0-910b-e17b5587ebbd</t>
        </is>
      </c>
      <c r="G57" s="6" t="inlineStr">
        <is>
          <t>SharePoint list DGOMailTemplates</t>
        </is>
      </c>
      <c r="H57" s="6" t="inlineStr">
        <is>
          <t>Mailer correspondence</t>
        </is>
      </c>
      <c r="I57" s="6" t="n"/>
      <c r="J57" s="6" t="n"/>
      <c r="K57" s="6" t="inlineStr">
        <is>
          <t>tenant only (not in the repository)</t>
        </is>
      </c>
      <c r="L57" s="6" t="inlineStr">
        <is>
          <t>No</t>
        </is>
      </c>
      <c r="M57" s="6" t="inlineStr">
        <is>
          <t>Unknown</t>
        </is>
      </c>
      <c r="N57" s="6" t="n"/>
      <c r="O57" s="6" t="inlineStr">
        <is>
          <t>Not visible from the repository</t>
        </is>
      </c>
      <c r="P57" s="10" t="inlineStr">
        <is>
          <t>DECISION</t>
        </is>
      </c>
      <c r="Q57" s="6" t="inlineStr">
        <is>
          <t>F4: count and content unknown; operators can add any HTML.</t>
        </is>
      </c>
      <c r="R57" s="6" t="inlineStr">
        <is>
          <t>Export the list and review, or set a rule for operator templates.</t>
        </is>
      </c>
      <c r="S57" s="8" t="n"/>
      <c r="T57" s="9" t="n"/>
      <c r="U57" s="8" t="n"/>
    </row>
    <row r="58">
      <c r="A58" s="6" t="inlineStr">
        <is>
          <t>TR-133</t>
        </is>
      </c>
      <c r="B58" s="6" t="inlineStr">
        <is>
          <t>Old library (unwired)</t>
        </is>
      </c>
      <c r="C58" s="6" t="inlineStr">
        <is>
          <t>Folio Workspace</t>
        </is>
      </c>
      <c r="D58" s="6" t="inlineStr">
        <is>
          <t>nitda-ip-10-internal-support-request — Internal Support Request</t>
        </is>
      </c>
      <c r="E58" s="6" t="n"/>
      <c r="F58" s="6" t="n"/>
      <c r="G58" s="6" t="inlineStr">
        <is>
          <t>Staff member raises an internal support request to the IT department.</t>
        </is>
      </c>
      <c r="H58" s="6" t="n"/>
      <c r="I58" s="6" t="n"/>
      <c r="J58" s="6" t="n"/>
      <c r="K58" s="6" t="inlineStr">
        <is>
          <t>deployment/notification-instrument/email-templates/deploy/nitda-ip-10-internal-support-request.html</t>
        </is>
      </c>
      <c r="L58" s="6" t="inlineStr">
        <is>
          <t>No</t>
        </is>
      </c>
      <c r="M58" s="6" t="inlineStr">
        <is>
          <t>No</t>
        </is>
      </c>
      <c r="N58" s="6" t="n"/>
      <c r="O58" s="6" t="inlineStr">
        <is>
          <t>Not wired to any flow</t>
        </is>
      </c>
      <c r="P58" s="10" t="inlineStr">
        <is>
          <t>DECISION</t>
        </is>
      </c>
      <c r="Q58" s="6" t="inlineStr">
        <is>
          <t>F7: kept beside the catalogue against the 2026-10-03 one-source decision. Live equivalent: none (see "Implied, not sent").</t>
        </is>
      </c>
      <c r="R58" s="6" t="inlineStr">
        <is>
          <t>Mark superseded (or archive) and keep the catalogue as the one source.</t>
        </is>
      </c>
      <c r="S58" s="8" t="n"/>
      <c r="T58" s="9" t="n"/>
      <c r="U58" s="8" t="n"/>
    </row>
    <row r="59">
      <c r="A59" s="6" t="inlineStr">
        <is>
          <t>TR-143</t>
        </is>
      </c>
      <c r="B59" s="6" t="inlineStr">
        <is>
          <t>Old library (unwired)</t>
        </is>
      </c>
      <c r="C59" s="6" t="inlineStr">
        <is>
          <t>Document Portal</t>
        </is>
      </c>
      <c r="D59" s="6" t="inlineStr">
        <is>
          <t>nitda-dp-08-acknowledgement-overdue — Acknowledgement Clock Overdue</t>
        </is>
      </c>
      <c r="E59" s="6" t="n"/>
      <c r="F59" s="6" t="n"/>
      <c r="G59" s="6" t="inlineStr">
        <is>
          <t>Working-day acknowledgement clock passes 3 days without substantive acknowledgement.</t>
        </is>
      </c>
      <c r="H59" s="6" t="n"/>
      <c r="I59" s="6" t="n"/>
      <c r="J59" s="6" t="n"/>
      <c r="K59" s="6" t="inlineStr">
        <is>
          <t>deployment/notification-instrument/email-templates/deploy/nitda-dp-08-acknowledgement-overdue.html</t>
        </is>
      </c>
      <c r="L59" s="6" t="inlineStr">
        <is>
          <t>No</t>
        </is>
      </c>
      <c r="M59" s="6" t="inlineStr">
        <is>
          <t>No</t>
        </is>
      </c>
      <c r="N59" s="6" t="n"/>
      <c r="O59" s="6" t="inlineStr">
        <is>
          <t>Not wired to any flow</t>
        </is>
      </c>
      <c r="P59" s="10" t="inlineStr">
        <is>
          <t>DECISION</t>
        </is>
      </c>
      <c r="Q59" s="6" t="inlineStr">
        <is>
          <t>F7: kept beside the catalogue against the 2026-10-03 one-source decision. Live equivalent: none (see "Implied, not sent").</t>
        </is>
      </c>
      <c r="R59" s="6" t="inlineStr">
        <is>
          <t>Mark superseded (or archive) and keep the catalogue as the one source.</t>
        </is>
      </c>
      <c r="S59" s="8" t="n"/>
      <c r="T59" s="9" t="n"/>
      <c r="U59" s="8" t="n"/>
    </row>
    <row r="60">
      <c r="A60" s="6" t="inlineStr">
        <is>
          <t>TR-109</t>
        </is>
      </c>
      <c r="B60" s="6" t="inlineStr">
        <is>
          <t>Specified flow · not in the adopted estate</t>
        </is>
      </c>
      <c r="C60" s="6" t="inlineStr">
        <is>
          <t>Tools / flow estate</t>
        </is>
      </c>
      <c r="D60" s="6" t="inlineStr">
        <is>
          <t>Send_Run_Report</t>
        </is>
      </c>
      <c r="E60" s="6" t="inlineStr">
        <is>
          <t>DGO_USERDIRECTORY_SYNC</t>
        </is>
      </c>
      <c r="F60" s="6" t="n"/>
      <c r="G60" s="6" t="inlineStr">
        <is>
          <t>Send_Run_Report</t>
        </is>
      </c>
      <c r="H60" s="6" t="n"/>
      <c r="I60" s="6" t="n"/>
      <c r="J60" s="6" t="n"/>
      <c r="K60" s="6" t="inlineStr">
        <is>
          <t>surfaces/governance/DGO_USERDIRECTORY_SYNC.Scope_Global.designer-paste.json</t>
        </is>
      </c>
      <c r="L60" s="6" t="inlineStr">
        <is>
          <t>No</t>
        </is>
      </c>
      <c r="M60" s="6" t="inlineStr">
        <is>
          <t>No</t>
        </is>
      </c>
      <c r="N60" s="6" t="n"/>
      <c r="O60" s="6" t="inlineStr">
        <is>
          <t>Not among the 43 adopted flows</t>
        </is>
      </c>
      <c r="P60" s="10" t="inlineStr">
        <is>
          <t>NOT DEPLOYED</t>
        </is>
      </c>
      <c r="Q60" s="6" t="inlineStr">
        <is>
          <t>F6: Branded run report, no logo.</t>
        </is>
      </c>
      <c r="R60" s="6" t="inlineStr">
        <is>
          <t>Bring into the catalogue before deployment.</t>
        </is>
      </c>
      <c r="S60" s="8" t="n"/>
      <c r="T60" s="9" t="n"/>
      <c r="U60" s="8" t="n"/>
    </row>
    <row r="61">
      <c r="A61" s="6" t="inlineStr">
        <is>
          <t>TR-110</t>
        </is>
      </c>
      <c r="B61" s="6" t="inlineStr">
        <is>
          <t>Specified flow · not in the adopted estate</t>
        </is>
      </c>
      <c r="C61" s="6" t="inlineStr">
        <is>
          <t>Tools / flow estate</t>
        </is>
      </c>
      <c r="D61" s="6" t="inlineStr">
        <is>
          <t>Send_Telemetry_Email</t>
        </is>
      </c>
      <c r="E61" s="6" t="inlineStr">
        <is>
          <t>DGO_USERDIRECTORY_SYNC</t>
        </is>
      </c>
      <c r="F61" s="6" t="n"/>
      <c r="G61" s="6" t="inlineStr">
        <is>
          <t>Send_Telemetry_Email</t>
        </is>
      </c>
      <c r="H61" s="6" t="n"/>
      <c r="I61" s="6" t="n"/>
      <c r="J61" s="6" t="n"/>
      <c r="K61" s="6" t="inlineStr">
        <is>
          <t>surfaces/governance/DGO_USERDIRECTORY_SYNC.Scope_Global.designer-paste.json</t>
        </is>
      </c>
      <c r="L61" s="6" t="inlineStr">
        <is>
          <t>No</t>
        </is>
      </c>
      <c r="M61" s="6" t="inlineStr">
        <is>
          <t>No</t>
        </is>
      </c>
      <c r="N61" s="6" t="n"/>
      <c r="O61" s="6" t="inlineStr">
        <is>
          <t>Not among the 43 adopted flows</t>
        </is>
      </c>
      <c r="P61" s="10" t="inlineStr">
        <is>
          <t>NOT DEPLOYED</t>
        </is>
      </c>
      <c r="Q61" s="6" t="inlineStr">
        <is>
          <t>F6: Bare telemetry mail.</t>
        </is>
      </c>
      <c r="R61" s="6" t="inlineStr">
        <is>
          <t>Bring into the catalogue before deployment.</t>
        </is>
      </c>
      <c r="S61" s="8" t="n"/>
      <c r="T61" s="9" t="n"/>
      <c r="U61" s="8" t="n"/>
    </row>
    <row r="62">
      <c r="A62" s="6" t="inlineStr">
        <is>
          <t>TR-111</t>
        </is>
      </c>
      <c r="B62" s="6" t="inlineStr">
        <is>
          <t>Specified flow · not in the adopted estate</t>
        </is>
      </c>
      <c r="C62" s="6" t="inlineStr">
        <is>
          <t>Tools / flow estate</t>
        </is>
      </c>
      <c r="D62" s="6" t="inlineStr">
        <is>
          <t>Send_Governance_Report_Email</t>
        </is>
      </c>
      <c r="E62" s="6" t="inlineStr">
        <is>
          <t>DGO_ENDPOINT_INVENTORY</t>
        </is>
      </c>
      <c r="F62" s="6" t="n"/>
      <c r="G62" s="6" t="inlineStr">
        <is>
          <t>Send_Governance_Report_Email</t>
        </is>
      </c>
      <c r="H62" s="6" t="n"/>
      <c r="I62" s="6" t="n"/>
      <c r="J62" s="6" t="n"/>
      <c r="K62" s="6" t="inlineStr">
        <is>
          <t>surfaces/internal/inventory/DGO_ENDPOINT_INVENTORY.designer-paste.json</t>
        </is>
      </c>
      <c r="L62" s="6" t="inlineStr">
        <is>
          <t>No</t>
        </is>
      </c>
      <c r="M62" s="6" t="inlineStr">
        <is>
          <t>No</t>
        </is>
      </c>
      <c r="N62" s="6" t="n"/>
      <c r="O62" s="6" t="inlineStr">
        <is>
          <t>Not among the 43 adopted flows</t>
        </is>
      </c>
      <c r="P62" s="10" t="inlineStr">
        <is>
          <t>NOT DEPLOYED</t>
        </is>
      </c>
      <c r="Q62" s="6" t="inlineStr">
        <is>
          <t>F6: Bare report to a fixed address.</t>
        </is>
      </c>
      <c r="R62" s="6" t="inlineStr">
        <is>
          <t>Bring into the catalogue before deployment.</t>
        </is>
      </c>
      <c r="S62" s="8" t="n"/>
      <c r="T62" s="9" t="n"/>
      <c r="U62" s="8" t="n"/>
    </row>
    <row r="63">
      <c r="A63" s="6" t="inlineStr">
        <is>
          <t>TR-114</t>
        </is>
      </c>
      <c r="B63" s="6" t="inlineStr">
        <is>
          <t>Specified flow · not in the adopted estate</t>
        </is>
      </c>
      <c r="C63" s="6" t="inlineStr">
        <is>
          <t>Tools / flow estate</t>
        </is>
      </c>
      <c r="D63" s="6" t="inlineStr">
        <is>
          <t>telemetry mail</t>
        </is>
      </c>
      <c r="E63" s="6" t="inlineStr">
        <is>
          <t>ECM_DOCS_INTAKE</t>
        </is>
      </c>
      <c r="F63" s="6" t="n"/>
      <c r="G63" s="6" t="inlineStr">
        <is>
          <t>telemetry mail</t>
        </is>
      </c>
      <c r="H63" s="6" t="n"/>
      <c r="I63" s="6" t="n"/>
      <c r="J63" s="6" t="n"/>
      <c r="K63" s="6" t="inlineStr">
        <is>
          <t>specified in deployment/sharepoint/DECISIONS.md; no package</t>
        </is>
      </c>
      <c r="L63" s="6" t="inlineStr">
        <is>
          <t>No</t>
        </is>
      </c>
      <c r="M63" s="6" t="inlineStr">
        <is>
          <t>No</t>
        </is>
      </c>
      <c r="N63" s="6" t="n"/>
      <c r="O63" s="6" t="inlineStr">
        <is>
          <t>Not among the 43 adopted flows</t>
        </is>
      </c>
      <c r="P63" s="10" t="inlineStr">
        <is>
          <t>NOT DEPLOYED</t>
        </is>
      </c>
      <c r="Q63" s="6" t="inlineStr">
        <is>
          <t>F6: ITEM-66 surplus send; no tenant evidence.</t>
        </is>
      </c>
      <c r="R63" s="6" t="inlineStr">
        <is>
          <t>Bring into the catalogue before deployment.</t>
        </is>
      </c>
      <c r="S63" s="8" t="n"/>
      <c r="T63" s="9" t="n"/>
      <c r="U63" s="8" t="n"/>
    </row>
    <row r="64">
      <c r="A64" s="6" t="inlineStr">
        <is>
          <t>TR-115</t>
        </is>
      </c>
      <c r="B64" s="6" t="inlineStr">
        <is>
          <t>Specified flow · not in the adopted estate</t>
        </is>
      </c>
      <c r="C64" s="6" t="inlineStr">
        <is>
          <t>Tools / flow estate</t>
        </is>
      </c>
      <c r="D64" s="6" t="inlineStr">
        <is>
          <t>(none specified)</t>
        </is>
      </c>
      <c r="E64" s="6" t="inlineStr">
        <is>
          <t>Notification processor</t>
        </is>
      </c>
      <c r="F64" s="6" t="n"/>
      <c r="G64" s="6" t="inlineStr">
        <is>
          <t>(none specified)</t>
        </is>
      </c>
      <c r="H64" s="6" t="n"/>
      <c r="I64" s="6" t="n"/>
      <c r="J64" s="6" t="n"/>
      <c r="K64" s="6" t="inlineStr">
        <is>
          <t>deployment/notification-instrument/notification-processor/processor-spec.json</t>
        </is>
      </c>
      <c r="L64" s="6" t="inlineStr">
        <is>
          <t>No</t>
        </is>
      </c>
      <c r="M64" s="6" t="inlineStr">
        <is>
          <t>No</t>
        </is>
      </c>
      <c r="N64" s="6" t="n"/>
      <c r="O64" s="6" t="inlineStr">
        <is>
          <t>Not among the 43 adopted flows</t>
        </is>
      </c>
      <c r="P64" s="10" t="inlineStr">
        <is>
          <t>NOT DEPLOYED</t>
        </is>
      </c>
      <c r="Q64" s="6" t="inlineStr">
        <is>
          <t>F6: NOT_APPLIED; superseded by retry rule A (2026-10-17).</t>
        </is>
      </c>
      <c r="R64" s="6" t="inlineStr">
        <is>
          <t>Bring into the catalogue before deployment.</t>
        </is>
      </c>
      <c r="S64" s="8" t="n"/>
      <c r="T64" s="9" t="n"/>
      <c r="U64" s="8" t="n"/>
    </row>
    <row r="65">
      <c r="A65" s="6" t="inlineStr">
        <is>
          <t>TR-088</t>
        </is>
      </c>
      <c r="B65" s="6" t="inlineStr">
        <is>
          <t>Client e-mail · correspondence</t>
        </is>
      </c>
      <c r="C65" s="6" t="inlineStr">
        <is>
          <t>Folio Workspace</t>
        </is>
      </c>
      <c r="D65" s="6" t="inlineStr">
        <is>
          <t>Attachment list partial</t>
        </is>
      </c>
      <c r="E65" s="6" t="inlineStr">
        <is>
          <t>IP_SEND_EMAIL (Compose_SendEmail_Attachment_Section)</t>
        </is>
      </c>
      <c r="F65" s="6" t="inlineStr">
        <is>
          <t>df59a69f-92ca-4554-ae68-6b464aa73ef7</t>
        </is>
      </c>
      <c r="G65" s="6" t="inlineStr">
        <is>
          <t>partials/flow-attachment-section.html</t>
        </is>
      </c>
      <c r="H65" s="6" t="inlineStr">
        <is>
          <t>RN-021, RN-022</t>
        </is>
      </c>
      <c r="I65" s="6" t="n"/>
      <c r="J65" s="6" t="n"/>
      <c r="K65" s="6" t="inlineStr">
        <is>
          <t>docs/reference/correspondence-email-templates/partials/flow-attachment-section.html</t>
        </is>
      </c>
      <c r="L65" s="6" t="inlineStr">
        <is>
          <t>Part of the IP_SEND_EMAIL template</t>
        </is>
      </c>
      <c r="M65" s="6" t="inlineStr">
        <is>
          <t>No</t>
        </is>
      </c>
      <c r="N65" s="6" t="n"/>
      <c r="O65" s="6" t="inlineStr">
        <is>
          <t>Live</t>
        </is>
      </c>
      <c r="P65" s="11" t="inlineStr">
        <is>
          <t>INFO</t>
        </is>
      </c>
      <c r="Q65" s="6" t="inlineStr">
        <is>
          <t>The correspondence README step 4 still says the flow "adds one thing"; since release 36 it adds the whole frame.</t>
        </is>
      </c>
      <c r="R65" s="6" t="inlineStr">
        <is>
          <t>Correct the README.</t>
        </is>
      </c>
      <c r="S65" s="8" t="n"/>
      <c r="T65" s="9" t="n"/>
      <c r="U65" s="8" t="n"/>
    </row>
    <row r="66">
      <c r="A66" s="6" t="inlineStr">
        <is>
          <t>TR-072</t>
        </is>
      </c>
      <c r="B66" s="6" t="inlineStr">
        <is>
          <t>Flow e-mail · no catalogue template</t>
        </is>
      </c>
      <c r="C66" s="6" t="inlineStr">
        <is>
          <t>Correspondence Mailer</t>
        </is>
      </c>
      <c r="D66" s="6" t="inlineStr">
        <is>
          <t>Mailer letter (shared mailbox)</t>
        </is>
      </c>
      <c r="E66" s="6" t="inlineStr">
        <is>
          <t>DGO_MAIL_SEND</t>
        </is>
      </c>
      <c r="F66" s="6" t="inlineStr">
        <is>
          <t>0fb53e16-fa57-41a9-9880-752c3a4d4749</t>
        </is>
      </c>
      <c r="G66" s="6" t="inlineStr">
        <is>
          <t>Send_From_Shared_Mailbox</t>
        </is>
      </c>
      <c r="H66" s="6" t="inlineStr">
        <is>
          <t>operational</t>
        </is>
      </c>
      <c r="I66" s="6" t="n"/>
      <c r="J66" s="6" t="inlineStr">
        <is>
          <t>@join(outputs('Compose_Message')?['to'], ';')</t>
        </is>
      </c>
      <c r="K66" s="6" t="inlineStr">
        <is>
          <t>inline in the flow definition</t>
        </is>
      </c>
      <c r="L66" s="6" t="inlineStr">
        <is>
          <t>No</t>
        </is>
      </c>
      <c r="M66" s="6" t="inlineStr">
        <is>
          <t>No</t>
        </is>
      </c>
      <c r="N66" s="6" t="n"/>
      <c r="O66" s="6" t="inlineStr">
        <is>
          <t>Live, unchanged since 2026-10-01 capture</t>
        </is>
      </c>
      <c r="P66" s="11" t="inlineStr">
        <is>
          <t>INFO</t>
        </is>
      </c>
      <c r="Q66" s="6" t="inlineStr">
        <is>
          <t>Passes through the letter the Mailer composes (see the Mailer rows).</t>
        </is>
      </c>
      <c r="R66" s="6" t="n"/>
      <c r="S66" s="8" t="n"/>
      <c r="T66" s="9" t="n"/>
      <c r="U66" s="8" t="n"/>
    </row>
    <row r="67">
      <c r="A67" s="6" t="inlineStr">
        <is>
          <t>TR-073</t>
        </is>
      </c>
      <c r="B67" s="6" t="inlineStr">
        <is>
          <t>Flow e-mail · no catalogue template</t>
        </is>
      </c>
      <c r="C67" s="6" t="inlineStr">
        <is>
          <t>Correspondence Mailer</t>
        </is>
      </c>
      <c r="D67" s="6" t="inlineStr">
        <is>
          <t>Mailer letter (connection account)</t>
        </is>
      </c>
      <c r="E67" s="6" t="inlineStr">
        <is>
          <t>DGO_MAIL_SEND</t>
        </is>
      </c>
      <c r="F67" s="6" t="inlineStr">
        <is>
          <t>0fb53e16-fa57-41a9-9880-752c3a4d4749</t>
        </is>
      </c>
      <c r="G67" s="6" t="inlineStr">
        <is>
          <t>Send_As_Connection</t>
        </is>
      </c>
      <c r="H67" s="6" t="inlineStr">
        <is>
          <t>operational</t>
        </is>
      </c>
      <c r="I67" s="6" t="n"/>
      <c r="J67" s="6" t="inlineStr">
        <is>
          <t>@join(outputs('Compose_Message')?['to'], ';')</t>
        </is>
      </c>
      <c r="K67" s="6" t="inlineStr">
        <is>
          <t>inline in the flow definition</t>
        </is>
      </c>
      <c r="L67" s="6" t="inlineStr">
        <is>
          <t>No</t>
        </is>
      </c>
      <c r="M67" s="6" t="inlineStr">
        <is>
          <t>No</t>
        </is>
      </c>
      <c r="N67" s="6" t="n"/>
      <c r="O67" s="6" t="inlineStr">
        <is>
          <t>Live, unchanged since 2026-10-01 capture</t>
        </is>
      </c>
      <c r="P67" s="11" t="inlineStr">
        <is>
          <t>INFO</t>
        </is>
      </c>
      <c r="Q67" s="6" t="inlineStr">
        <is>
          <t>Passes through the letter the Mailer composes (see the Mailer rows).</t>
        </is>
      </c>
      <c r="R67" s="6" t="n"/>
      <c r="S67" s="8" t="n"/>
      <c r="T67" s="9" t="n"/>
      <c r="U67" s="8" t="n"/>
    </row>
    <row r="68">
      <c r="A68" s="6" t="inlineStr">
        <is>
          <t>TR-116</t>
        </is>
      </c>
      <c r="B68" s="6" t="inlineStr">
        <is>
          <t>One-off set-up report</t>
        </is>
      </c>
      <c r="C68" s="6" t="inlineStr">
        <is>
          <t>Identification set-up</t>
        </is>
      </c>
      <c r="D68" s="6" t="inlineStr">
        <is>
          <t>Send_Email_With_Complete_Run_Record</t>
        </is>
      </c>
      <c r="E68" s="6" t="inlineStr">
        <is>
          <t>Scope_Phase1_Columns_Flow</t>
        </is>
      </c>
      <c r="F68" s="6" t="n"/>
      <c r="G68" s="6" t="inlineStr">
        <is>
          <t>Send_Email_With_Complete_Run_Record</t>
        </is>
      </c>
      <c r="H68" s="6" t="n"/>
      <c r="I68" s="6" t="n"/>
      <c r="J68" s="6" t="n"/>
      <c r="K68" s="6" t="inlineStr">
        <is>
          <t>packages/identification-phase1/Scope_Phase1_Columns_Flow.paste.json</t>
        </is>
      </c>
      <c r="L68" s="6" t="inlineStr">
        <is>
          <t>No</t>
        </is>
      </c>
      <c r="M68" s="6" t="inlineStr">
        <is>
          <t>No</t>
        </is>
      </c>
      <c r="N68" s="6" t="n"/>
      <c r="O68" s="6" t="inlineStr">
        <is>
          <t>Not adopted (run once)</t>
        </is>
      </c>
      <c r="P68" s="11" t="inlineStr">
        <is>
          <t>INFO</t>
        </is>
      </c>
      <c r="Q68" s="6" t="inlineStr">
        <is>
          <t>Operator run report for a one-off set-up flow.</t>
        </is>
      </c>
      <c r="R68" s="6" t="inlineStr">
        <is>
          <t>None unless rerun.</t>
        </is>
      </c>
      <c r="S68" s="8" t="n"/>
      <c r="T68" s="9" t="n"/>
      <c r="U68" s="8" t="n"/>
    </row>
    <row r="69">
      <c r="A69" s="6" t="inlineStr">
        <is>
          <t>TR-117</t>
        </is>
      </c>
      <c r="B69" s="6" t="inlineStr">
        <is>
          <t>One-off set-up report</t>
        </is>
      </c>
      <c r="C69" s="6" t="inlineStr">
        <is>
          <t>Identification set-up</t>
        </is>
      </c>
      <c r="D69" s="6" t="inlineStr">
        <is>
          <t>Send_Complete_Report</t>
        </is>
      </c>
      <c r="E69" s="6" t="inlineStr">
        <is>
          <t>Scope_Phase1_Complete_Flow</t>
        </is>
      </c>
      <c r="F69" s="6" t="n"/>
      <c r="G69" s="6" t="inlineStr">
        <is>
          <t>Send_Complete_Report</t>
        </is>
      </c>
      <c r="H69" s="6" t="n"/>
      <c r="I69" s="6" t="n"/>
      <c r="J69" s="6" t="n"/>
      <c r="K69" s="6" t="inlineStr">
        <is>
          <t>packages/identification-phase1/Scope_Phase1_Complete_Flow.paste.json</t>
        </is>
      </c>
      <c r="L69" s="6" t="inlineStr">
        <is>
          <t>No</t>
        </is>
      </c>
      <c r="M69" s="6" t="inlineStr">
        <is>
          <t>No</t>
        </is>
      </c>
      <c r="N69" s="6" t="n"/>
      <c r="O69" s="6" t="inlineStr">
        <is>
          <t>Not adopted (run once)</t>
        </is>
      </c>
      <c r="P69" s="11" t="inlineStr">
        <is>
          <t>INFO</t>
        </is>
      </c>
      <c r="Q69" s="6" t="inlineStr">
        <is>
          <t>Operator run report for a one-off set-up flow.</t>
        </is>
      </c>
      <c r="R69" s="6" t="inlineStr">
        <is>
          <t>None unless rerun.</t>
        </is>
      </c>
      <c r="S69" s="8" t="n"/>
      <c r="T69" s="9" t="n"/>
      <c r="U69" s="8" t="n"/>
    </row>
    <row r="70">
      <c r="A70" s="6" t="inlineStr">
        <is>
          <t>TR-118</t>
        </is>
      </c>
      <c r="B70" s="6" t="inlineStr">
        <is>
          <t>One-off set-up report</t>
        </is>
      </c>
      <c r="C70" s="6" t="inlineStr">
        <is>
          <t>Identification set-up</t>
        </is>
      </c>
      <c r="D70" s="6" t="inlineStr">
        <is>
          <t>Send_Finish_Report</t>
        </is>
      </c>
      <c r="E70" s="6" t="inlineStr">
        <is>
          <t>Scope_Phase1_Finish_Flow</t>
        </is>
      </c>
      <c r="F70" s="6" t="n"/>
      <c r="G70" s="6" t="inlineStr">
        <is>
          <t>Send_Finish_Report</t>
        </is>
      </c>
      <c r="H70" s="6" t="n"/>
      <c r="I70" s="6" t="n"/>
      <c r="J70" s="6" t="n"/>
      <c r="K70" s="6" t="inlineStr">
        <is>
          <t>packages/identification-phase1/Scope_Phase1_Finish_Flow.paste.json</t>
        </is>
      </c>
      <c r="L70" s="6" t="inlineStr">
        <is>
          <t>No</t>
        </is>
      </c>
      <c r="M70" s="6" t="inlineStr">
        <is>
          <t>No</t>
        </is>
      </c>
      <c r="N70" s="6" t="n"/>
      <c r="O70" s="6" t="inlineStr">
        <is>
          <t>Not adopted (run once)</t>
        </is>
      </c>
      <c r="P70" s="11" t="inlineStr">
        <is>
          <t>INFO</t>
        </is>
      </c>
      <c r="Q70" s="6" t="inlineStr">
        <is>
          <t>Operator run report for a one-off set-up flow.</t>
        </is>
      </c>
      <c r="R70" s="6" t="inlineStr">
        <is>
          <t>None unless rerun.</t>
        </is>
      </c>
      <c r="S70" s="8" t="n"/>
      <c r="T70" s="9" t="n"/>
      <c r="U70" s="8" t="n"/>
    </row>
    <row r="71">
      <c r="A71" s="6" t="inlineStr">
        <is>
          <t>TR-119</t>
        </is>
      </c>
      <c r="B71" s="6" t="inlineStr">
        <is>
          <t>One-off set-up report</t>
        </is>
      </c>
      <c r="C71" s="6" t="inlineStr">
        <is>
          <t>Identification set-up</t>
        </is>
      </c>
      <c r="D71" s="6" t="inlineStr">
        <is>
          <t>Send_GTQ_Report</t>
        </is>
      </c>
      <c r="E71" s="6" t="inlineStr">
        <is>
          <t>Scope_Phase1_GTQ_Indexes_Flow</t>
        </is>
      </c>
      <c r="F71" s="6" t="n"/>
      <c r="G71" s="6" t="inlineStr">
        <is>
          <t>Send_GTQ_Report</t>
        </is>
      </c>
      <c r="H71" s="6" t="n"/>
      <c r="I71" s="6" t="n"/>
      <c r="J71" s="6" t="n"/>
      <c r="K71" s="6" t="inlineStr">
        <is>
          <t>packages/identification-phase1/Scope_Phase1_GTQ_Indexes_Flow.paste.json</t>
        </is>
      </c>
      <c r="L71" s="6" t="inlineStr">
        <is>
          <t>No</t>
        </is>
      </c>
      <c r="M71" s="6" t="inlineStr">
        <is>
          <t>No</t>
        </is>
      </c>
      <c r="N71" s="6" t="n"/>
      <c r="O71" s="6" t="inlineStr">
        <is>
          <t>Not adopted (run once)</t>
        </is>
      </c>
      <c r="P71" s="11" t="inlineStr">
        <is>
          <t>INFO</t>
        </is>
      </c>
      <c r="Q71" s="6" t="inlineStr">
        <is>
          <t>Operator run report for a one-off set-up flow.</t>
        </is>
      </c>
      <c r="R71" s="6" t="inlineStr">
        <is>
          <t>None unless rerun.</t>
        </is>
      </c>
      <c r="S71" s="8" t="n"/>
      <c r="T71" s="9" t="n"/>
      <c r="U71" s="8" t="n"/>
    </row>
    <row r="72">
      <c r="A72" s="6" t="inlineStr">
        <is>
          <t>TR-120</t>
        </is>
      </c>
      <c r="B72" s="6" t="inlineStr">
        <is>
          <t>One-off set-up report</t>
        </is>
      </c>
      <c r="C72" s="6" t="inlineStr">
        <is>
          <t>Identification set-up</t>
        </is>
      </c>
      <c r="D72" s="6" t="inlineStr">
        <is>
          <t>Send_Check_Report</t>
        </is>
      </c>
      <c r="E72" s="6" t="inlineStr">
        <is>
          <t>Scope_Phase1_ListCheck_Flow</t>
        </is>
      </c>
      <c r="F72" s="6" t="n"/>
      <c r="G72" s="6" t="inlineStr">
        <is>
          <t>Send_Check_Report</t>
        </is>
      </c>
      <c r="H72" s="6" t="n"/>
      <c r="I72" s="6" t="n"/>
      <c r="J72" s="6" t="n"/>
      <c r="K72" s="6" t="inlineStr">
        <is>
          <t>packages/identification-phase1/Scope_Phase1_ListCheck_Flow.paste.json</t>
        </is>
      </c>
      <c r="L72" s="6" t="inlineStr">
        <is>
          <t>No</t>
        </is>
      </c>
      <c r="M72" s="6" t="inlineStr">
        <is>
          <t>No</t>
        </is>
      </c>
      <c r="N72" s="6" t="n"/>
      <c r="O72" s="6" t="inlineStr">
        <is>
          <t>Not adopted (run once)</t>
        </is>
      </c>
      <c r="P72" s="11" t="inlineStr">
        <is>
          <t>INFO</t>
        </is>
      </c>
      <c r="Q72" s="6" t="inlineStr">
        <is>
          <t>Operator run report for a one-off set-up flow.</t>
        </is>
      </c>
      <c r="R72" s="6" t="inlineStr">
        <is>
          <t>None unless rerun.</t>
        </is>
      </c>
      <c r="S72" s="8" t="n"/>
      <c r="T72" s="9" t="n"/>
      <c r="U72" s="8" t="n"/>
    </row>
    <row r="73">
      <c r="A73" s="6" t="inlineStr">
        <is>
          <t>TR-121</t>
        </is>
      </c>
      <c r="B73" s="6" t="inlineStr">
        <is>
          <t>One-off set-up report</t>
        </is>
      </c>
      <c r="C73" s="6" t="inlineStr">
        <is>
          <t>Identification set-up</t>
        </is>
      </c>
      <c r="D73" s="6" t="inlineStr">
        <is>
          <t>Send_Claim_Test_Report</t>
        </is>
      </c>
      <c r="E73" s="6" t="inlineStr">
        <is>
          <t>Scope_Phase2_ClaimTest_Flow</t>
        </is>
      </c>
      <c r="F73" s="6" t="n"/>
      <c r="G73" s="6" t="inlineStr">
        <is>
          <t>Send_Claim_Test_Report</t>
        </is>
      </c>
      <c r="H73" s="6" t="n"/>
      <c r="I73" s="6" t="n"/>
      <c r="J73" s="6" t="n"/>
      <c r="K73" s="6" t="inlineStr">
        <is>
          <t>packages/identification-phase2/Scope_Phase2_ClaimTest_Flow.paste.json</t>
        </is>
      </c>
      <c r="L73" s="6" t="inlineStr">
        <is>
          <t>No</t>
        </is>
      </c>
      <c r="M73" s="6" t="inlineStr">
        <is>
          <t>No</t>
        </is>
      </c>
      <c r="N73" s="6" t="n"/>
      <c r="O73" s="6" t="inlineStr">
        <is>
          <t>Not adopted (run once)</t>
        </is>
      </c>
      <c r="P73" s="11" t="inlineStr">
        <is>
          <t>INFO</t>
        </is>
      </c>
      <c r="Q73" s="6" t="inlineStr">
        <is>
          <t>Operator run report for a one-off set-up flow.</t>
        </is>
      </c>
      <c r="R73" s="6" t="inlineStr">
        <is>
          <t>None unless rerun.</t>
        </is>
      </c>
      <c r="S73" s="8" t="n"/>
      <c r="T73" s="9" t="n"/>
      <c r="U73" s="8" t="n"/>
    </row>
    <row r="74">
      <c r="A74" s="6" t="inlineStr">
        <is>
          <t>TR-122</t>
        </is>
      </c>
      <c r="B74" s="6" t="inlineStr">
        <is>
          <t>One-off set-up report</t>
        </is>
      </c>
      <c r="C74" s="6" t="inlineStr">
        <is>
          <t>Identification set-up</t>
        </is>
      </c>
      <c r="D74" s="6" t="inlineStr">
        <is>
          <t>Send_Survey_Report</t>
        </is>
      </c>
      <c r="E74" s="6" t="inlineStr">
        <is>
          <t>NOKEY__ID_Phase5_Survey__NOT_CAPTURED</t>
        </is>
      </c>
      <c r="F74" s="6" t="n"/>
      <c r="G74" s="6" t="inlineStr">
        <is>
          <t>Send_Survey_Report</t>
        </is>
      </c>
      <c r="H74" s="6" t="n"/>
      <c r="I74" s="6" t="n"/>
      <c r="J74" s="6" t="n"/>
      <c r="K74" s="6" t="inlineStr">
        <is>
          <t>packages/identification-phase5/NOKEY__ID_Phase5_Survey__NOT_CAPTURED.paste.json</t>
        </is>
      </c>
      <c r="L74" s="6" t="inlineStr">
        <is>
          <t>No</t>
        </is>
      </c>
      <c r="M74" s="6" t="inlineStr">
        <is>
          <t>No</t>
        </is>
      </c>
      <c r="N74" s="6" t="n"/>
      <c r="O74" s="6" t="inlineStr">
        <is>
          <t>Not adopted (run once)</t>
        </is>
      </c>
      <c r="P74" s="11" t="inlineStr">
        <is>
          <t>INFO</t>
        </is>
      </c>
      <c r="Q74" s="6" t="inlineStr">
        <is>
          <t>Operator run report for a one-off set-up flow.</t>
        </is>
      </c>
      <c r="R74" s="6" t="inlineStr">
        <is>
          <t>None unless rerun.</t>
        </is>
      </c>
      <c r="S74" s="8" t="n"/>
      <c r="T74" s="9" t="n"/>
      <c r="U74" s="8" t="n"/>
    </row>
    <row r="75">
      <c r="A75" s="6" t="inlineStr">
        <is>
          <t>TR-123</t>
        </is>
      </c>
      <c r="B75" s="6" t="inlineStr">
        <is>
          <t>One-off set-up report</t>
        </is>
      </c>
      <c r="C75" s="6" t="inlineStr">
        <is>
          <t>Identification set-up</t>
        </is>
      </c>
      <c r="D75" s="6" t="inlineStr">
        <is>
          <t>Send_Keys_Report</t>
        </is>
      </c>
      <c r="E75" s="6" t="inlineStr">
        <is>
          <t>NOKEY__ID_Phase5_Keys__NOT_CAPTURED</t>
        </is>
      </c>
      <c r="F75" s="6" t="n"/>
      <c r="G75" s="6" t="inlineStr">
        <is>
          <t>Send_Keys_Report</t>
        </is>
      </c>
      <c r="H75" s="6" t="n"/>
      <c r="I75" s="6" t="n"/>
      <c r="J75" s="6" t="n"/>
      <c r="K75" s="6" t="inlineStr">
        <is>
          <t>packages/identification-phase5/NOKEY__ID_Phase5_Keys__NOT_CAPTURED.paste.json</t>
        </is>
      </c>
      <c r="L75" s="6" t="inlineStr">
        <is>
          <t>No</t>
        </is>
      </c>
      <c r="M75" s="6" t="inlineStr">
        <is>
          <t>No</t>
        </is>
      </c>
      <c r="N75" s="6" t="n"/>
      <c r="O75" s="6" t="inlineStr">
        <is>
          <t>Not adopted (run once)</t>
        </is>
      </c>
      <c r="P75" s="11" t="inlineStr">
        <is>
          <t>INFO</t>
        </is>
      </c>
      <c r="Q75" s="6" t="inlineStr">
        <is>
          <t>Operator run report for a one-off set-up flow.</t>
        </is>
      </c>
      <c r="R75" s="6" t="inlineStr">
        <is>
          <t>None unless rerun.</t>
        </is>
      </c>
      <c r="S75" s="8" t="n"/>
      <c r="T75" s="9" t="n"/>
      <c r="U75" s="8" t="n"/>
    </row>
    <row r="76">
      <c r="A76" s="6" t="inlineStr">
        <is>
          <t>TR-112</t>
        </is>
      </c>
      <c r="B76" s="6" t="inlineStr">
        <is>
          <t>Specified flow · not in the adopted estate</t>
        </is>
      </c>
      <c r="C76" s="6" t="inlineStr">
        <is>
          <t>Tools / flow estate</t>
        </is>
      </c>
      <c r="D76" s="6" t="inlineStr">
        <is>
          <t>Send_an_email_Folio_Flow_Estate</t>
        </is>
      </c>
      <c r="E76" s="6" t="inlineStr">
        <is>
          <t>Folio Flow Estate — Live Report</t>
        </is>
      </c>
      <c r="F76" s="6" t="n"/>
      <c r="G76" s="6" t="inlineStr">
        <is>
          <t>Send_an_email_Folio_Flow_Estate</t>
        </is>
      </c>
      <c r="H76" s="6" t="n"/>
      <c r="I76" s="6" t="n"/>
      <c r="J76" s="6" t="n"/>
      <c r="K76" s="6" t="inlineStr">
        <is>
          <t>patches/folio-flows-in-use/2-body.designer-paste.json + scripts/lib/folio-flows-report.template.html</t>
        </is>
      </c>
      <c r="L76" s="6" t="inlineStr">
        <is>
          <t>No</t>
        </is>
      </c>
      <c r="M76" s="6" t="inlineStr">
        <is>
          <t>No</t>
        </is>
      </c>
      <c r="N76" s="6" t="n"/>
      <c r="O76" s="6" t="inlineStr">
        <is>
          <t>Not among the 43 adopted flows</t>
        </is>
      </c>
      <c r="P76" s="11" t="inlineStr">
        <is>
          <t>INFO</t>
        </is>
      </c>
      <c r="Q76" s="6" t="inlineStr">
        <is>
          <t>F6: Run 2026-10-19 01:58 failed at this send: two CSV attachments were empty (defect in the package).</t>
        </is>
      </c>
      <c r="R76" s="6" t="inlineStr">
        <is>
          <t>Bring into the catalogue before deployment.</t>
        </is>
      </c>
      <c r="S76" s="8" t="n"/>
      <c r="T76" s="9" t="n"/>
      <c r="U76" s="8" t="n"/>
    </row>
    <row r="77">
      <c r="A77" s="6" t="inlineStr">
        <is>
          <t>TR-113</t>
        </is>
      </c>
      <c r="B77" s="6" t="inlineStr">
        <is>
          <t>Specified flow · not in the adopted estate</t>
        </is>
      </c>
      <c r="C77" s="6" t="inlineStr">
        <is>
          <t>Tools / flow estate</t>
        </is>
      </c>
      <c r="D77" s="6" t="inlineStr">
        <is>
          <t>Send_Flow_Definitions_Email</t>
        </is>
      </c>
      <c r="E77" s="6" t="inlineStr">
        <is>
          <t>Folio_Flows_In_Use (live-read body, 2026-10-19)</t>
        </is>
      </c>
      <c r="F77" s="6" t="n"/>
      <c r="G77" s="6" t="inlineStr">
        <is>
          <t>Send_Flow_Definitions_Email</t>
        </is>
      </c>
      <c r="H77" s="6" t="n"/>
      <c r="I77" s="6" t="n"/>
      <c r="J77" s="6" t="n"/>
      <c r="K77" s="6" t="inlineStr">
        <is>
          <t>scratchpad paste built in this review</t>
        </is>
      </c>
      <c r="L77" s="6" t="inlineStr">
        <is>
          <t>No</t>
        </is>
      </c>
      <c r="M77" s="6" t="inlineStr">
        <is>
          <t>No</t>
        </is>
      </c>
      <c r="N77" s="6" t="n"/>
      <c r="O77" s="6" t="inlineStr">
        <is>
          <t>Not among the 43 adopted flows</t>
        </is>
      </c>
      <c r="P77" s="11" t="inlineStr">
        <is>
          <t>INFO</t>
        </is>
      </c>
      <c r="Q77" s="6" t="inlineStr">
        <is>
          <t>F6: Ran 2026-10-19 02:32: 43 of 43 read.</t>
        </is>
      </c>
      <c r="R77" s="6" t="inlineStr">
        <is>
          <t>Tool; keep outside the catalogue.</t>
        </is>
      </c>
      <c r="S77" s="8" t="n"/>
      <c r="T77" s="9" t="n"/>
      <c r="U77" s="8" t="n"/>
    </row>
    <row r="78">
      <c r="A78" s="6" t="inlineStr">
        <is>
          <t>TR-149</t>
        </is>
      </c>
      <c r="B78" s="6" t="inlineStr">
        <is>
          <t>Surplus send (matrix)</t>
        </is>
      </c>
      <c r="C78" s="6" t="inlineStr">
        <is>
          <t>Flow estate</t>
        </is>
      </c>
      <c r="D78" s="6" t="inlineStr">
        <is>
          <t>Every governance flow emails its own execution report to the registry mailbox</t>
        </is>
      </c>
      <c r="E78" s="6" t="n"/>
      <c r="F78" s="6" t="n"/>
      <c r="G78" s="6" t="n"/>
      <c r="H78" s="6" t="inlineStr">
        <is>
          <t>SN-006</t>
        </is>
      </c>
      <c r="I78" s="6" t="n"/>
      <c r="J78" s="6" t="n"/>
      <c r="K78" s="6" t="inlineStr">
        <is>
          <t>config/notification-matrix.config.js (SurplusNotifications)</t>
        </is>
      </c>
      <c r="L78" s="6" t="n"/>
      <c r="M78" s="6" t="n"/>
      <c r="N78" s="6" t="n"/>
      <c r="O78" s="6" t="n"/>
      <c r="P78" s="11" t="inlineStr">
        <is>
          <t>INFO</t>
        </is>
      </c>
      <c r="Q78" s="6" t="inlineStr">
        <is>
          <t>Listed so an unlisted mail action cannot pass unnoticed; carried by the flows above.</t>
        </is>
      </c>
      <c r="R78" s="6" t="n"/>
      <c r="S78" s="8" t="n"/>
      <c r="T78" s="9" t="n"/>
      <c r="U78" s="8" t="n"/>
    </row>
    <row r="79">
      <c r="A79" s="6" t="inlineStr">
        <is>
          <t>TR-150</t>
        </is>
      </c>
      <c r="B79" s="6" t="inlineStr">
        <is>
          <t>Surplus send (matrix)</t>
        </is>
      </c>
      <c r="C79" s="6" t="inlineStr">
        <is>
          <t>Flow estate</t>
        </is>
      </c>
      <c r="D79" s="6" t="inlineStr">
        <is>
          <t>Endpoints alert the operator when they fail or are attacked</t>
        </is>
      </c>
      <c r="E79" s="6" t="n"/>
      <c r="F79" s="6" t="n"/>
      <c r="G79" s="6" t="n"/>
      <c r="H79" s="6" t="inlineStr">
        <is>
          <t>SN-007</t>
        </is>
      </c>
      <c r="I79" s="6" t="n"/>
      <c r="J79" s="6" t="n"/>
      <c r="K79" s="6" t="inlineStr">
        <is>
          <t>config/notification-matrix.config.js (SurplusNotifications)</t>
        </is>
      </c>
      <c r="L79" s="6" t="n"/>
      <c r="M79" s="6" t="n"/>
      <c r="N79" s="6" t="n"/>
      <c r="O79" s="6" t="n"/>
      <c r="P79" s="11" t="inlineStr">
        <is>
          <t>INFO</t>
        </is>
      </c>
      <c r="Q79" s="6" t="inlineStr">
        <is>
          <t>Listed so an unlisted mail action cannot pass unnoticed; carried by the flows above.</t>
        </is>
      </c>
      <c r="R79" s="6" t="n"/>
      <c r="S79" s="8" t="n"/>
      <c r="T79" s="9" t="n"/>
      <c r="U79" s="8" t="n"/>
    </row>
    <row r="80">
      <c r="A80" s="6" t="inlineStr">
        <is>
          <t>TR-001</t>
        </is>
      </c>
      <c r="B80" s="6" t="inlineStr">
        <is>
          <t>Flow e-mail · catalogue</t>
        </is>
      </c>
      <c r="C80" s="6" t="inlineStr">
        <is>
          <t>Document Portal</t>
        </is>
      </c>
      <c r="D80" s="6" t="inlineStr">
        <is>
          <t>NOKEY.expired-upload — expired-upload</t>
        </is>
      </c>
      <c r="E80" s="6" t="inlineStr">
        <is>
          <t>CG_Portal_Daily_Sweep</t>
        </is>
      </c>
      <c r="F80" s="6" t="inlineStr">
        <is>
          <t>f12aec6d-1554-483d-a525-a96ddb60d06f</t>
        </is>
      </c>
      <c r="G80" s="6" t="inlineStr">
        <is>
          <t>Send_Expired_Upload_Email</t>
        </is>
      </c>
      <c r="H80" s="6" t="inlineStr">
        <is>
          <t>operational (no RN row)</t>
        </is>
      </c>
      <c r="I80" s="6" t="n"/>
      <c r="J80" s="6" t="inlineStr">
        <is>
          <t>@outputs('Compose_Expired_Upload_Fields')?['emailRaw']</t>
        </is>
      </c>
      <c r="K80" s="6" t="inlineStr">
        <is>
          <t>email-catalogue/NOKEY__CG_Portal_Daily_Sweep__f12aec6d/Send_Expired_Upload_Email.html</t>
        </is>
      </c>
      <c r="L80" s="6" t="inlineStr">
        <is>
          <t>Yes</t>
        </is>
      </c>
      <c r="M80" s="6" t="inlineStr">
        <is>
          <t>Yes</t>
        </is>
      </c>
      <c r="N80" s="6" t="inlineStr">
        <is>
          <t>Palette, alt text, width and image host checked (test:emailcatalogue, test:brand; ACCEPTANCE 51/51)</t>
        </is>
      </c>
      <c r="O80" s="6" t="inlineStr">
        <is>
          <t>Live, identical to template</t>
        </is>
      </c>
      <c r="P80" s="12" t="inlineStr">
        <is>
          <t>OK</t>
        </is>
      </c>
      <c r="Q80" s="6" t="n"/>
      <c r="R80" s="6" t="n"/>
      <c r="S80" s="8" t="n"/>
      <c r="T80" s="9" t="n"/>
      <c r="U80" s="8" t="n"/>
    </row>
    <row r="81">
      <c r="A81" s="6" t="inlineStr">
        <is>
          <t>TR-002</t>
        </is>
      </c>
      <c r="B81" s="6" t="inlineStr">
        <is>
          <t>Flow e-mail · catalogue</t>
        </is>
      </c>
      <c r="C81" s="6" t="inlineStr">
        <is>
          <t>Document Portal</t>
        </is>
      </c>
      <c r="D81" s="6" t="inlineStr">
        <is>
          <t>NOKEY.registry-digest — registry-digest</t>
        </is>
      </c>
      <c r="E81" s="6" t="inlineStr">
        <is>
          <t>CG_Portal_Daily_Sweep</t>
        </is>
      </c>
      <c r="F81" s="6" t="inlineStr">
        <is>
          <t>f12aec6d-1554-483d-a525-a96ddb60d06f</t>
        </is>
      </c>
      <c r="G81" s="6" t="inlineStr">
        <is>
          <t>Send_Registry_Digest_Email</t>
        </is>
      </c>
      <c r="H81" s="6" t="inlineStr">
        <is>
          <t>operational (no RN row)</t>
        </is>
      </c>
      <c r="I81" s="6" t="n"/>
      <c r="J81" s="6" t="inlineStr">
        <is>
          <t>@outputs('Compose_Notify_Config_C5')?['registryTo']</t>
        </is>
      </c>
      <c r="K81" s="6" t="inlineStr">
        <is>
          <t>email-catalogue/NOKEY__CG_Portal_Daily_Sweep__f12aec6d/Send_Registry_Digest_Email.html</t>
        </is>
      </c>
      <c r="L81" s="6" t="inlineStr">
        <is>
          <t>Yes</t>
        </is>
      </c>
      <c r="M81" s="6" t="inlineStr">
        <is>
          <t>Yes</t>
        </is>
      </c>
      <c r="N81" s="6" t="inlineStr">
        <is>
          <t>Palette, alt text, width and image host checked (test:emailcatalogue, test:brand; ACCEPTANCE 51/51)</t>
        </is>
      </c>
      <c r="O81" s="6" t="inlineStr">
        <is>
          <t>Live, identical to template</t>
        </is>
      </c>
      <c r="P81" s="12" t="inlineStr">
        <is>
          <t>OK</t>
        </is>
      </c>
      <c r="Q81" s="6" t="n"/>
      <c r="R81" s="6" t="n"/>
      <c r="S81" s="8" t="n"/>
      <c r="T81" s="9" t="n"/>
      <c r="U81" s="8" t="n"/>
    </row>
    <row r="82">
      <c r="A82" s="6" t="inlineStr">
        <is>
          <t>TR-003</t>
        </is>
      </c>
      <c r="B82" s="6" t="inlineStr">
        <is>
          <t>Flow e-mail · catalogue</t>
        </is>
      </c>
      <c r="C82" s="6" t="inlineStr">
        <is>
          <t>Document Portal</t>
        </is>
      </c>
      <c r="D82" s="6" t="inlineStr">
        <is>
          <t>NOKEY.server-error-alert — server-error-alert</t>
        </is>
      </c>
      <c r="E82" s="6" t="inlineStr">
        <is>
          <t>CG_Portal_Daily_Sweep</t>
        </is>
      </c>
      <c r="F82" s="6" t="inlineStr">
        <is>
          <t>f12aec6d-1554-483d-a525-a96ddb60d06f</t>
        </is>
      </c>
      <c r="G82" s="6" t="inlineStr">
        <is>
          <t>Send_Server_Error_Alert_Email</t>
        </is>
      </c>
      <c r="H82" s="6" t="inlineStr">
        <is>
          <t>SN-007 (operator alert)</t>
        </is>
      </c>
      <c r="I82" s="6" t="n"/>
      <c r="J82" s="6" t="inlineStr">
        <is>
          <t>@outputs('Compose_Notify_Config_C5')?['opsTo']</t>
        </is>
      </c>
      <c r="K82" s="6" t="inlineStr">
        <is>
          <t>email-catalogue/NOKEY__CG_Portal_Daily_Sweep__f12aec6d/Send_Server_Error_Alert_Email.html</t>
        </is>
      </c>
      <c r="L82" s="6" t="inlineStr">
        <is>
          <t>Yes</t>
        </is>
      </c>
      <c r="M82" s="6" t="inlineStr">
        <is>
          <t>Yes</t>
        </is>
      </c>
      <c r="N82" s="6" t="inlineStr">
        <is>
          <t>Palette, alt text, width and image host checked (test:emailcatalogue, test:brand; ACCEPTANCE 51/51)</t>
        </is>
      </c>
      <c r="O82" s="6" t="inlineStr">
        <is>
          <t>Live, identical to template</t>
        </is>
      </c>
      <c r="P82" s="12" t="inlineStr">
        <is>
          <t>OK</t>
        </is>
      </c>
      <c r="Q82" s="6" t="n"/>
      <c r="R82" s="6" t="n"/>
      <c r="S82" s="8" t="n"/>
      <c r="T82" s="9" t="n"/>
      <c r="U82" s="8" t="n"/>
    </row>
    <row r="83">
      <c r="A83" s="6" t="inlineStr">
        <is>
          <t>TR-004</t>
        </is>
      </c>
      <c r="B83" s="6" t="inlineStr">
        <is>
          <t>Flow e-mail · catalogue</t>
        </is>
      </c>
      <c r="C83" s="6" t="inlineStr">
        <is>
          <t>Document Portal</t>
        </is>
      </c>
      <c r="D83" s="6" t="inlineStr">
        <is>
          <t>NOKEY.status-acknowledged — status-acknowledged</t>
        </is>
      </c>
      <c r="E83" s="6" t="inlineStr">
        <is>
          <t>CG_Registry_Status_Notifier</t>
        </is>
      </c>
      <c r="F83" s="6" t="inlineStr">
        <is>
          <t>8ebf6001-89cd-49c9-a9b6-4dedb9a5768b</t>
        </is>
      </c>
      <c r="G83" s="6" t="inlineStr">
        <is>
          <t>Send_Status_Acknowledged_Email</t>
        </is>
      </c>
      <c r="H83" s="6" t="inlineStr">
        <is>
          <t>operational (no RN row)</t>
        </is>
      </c>
      <c r="I83" s="6" t="n"/>
      <c r="J83" s="6" t="inlineStr">
        <is>
          <t>@outputs('Compose_Notify_Status_Fields_Acknowledged')?['emailRaw']</t>
        </is>
      </c>
      <c r="K83" s="6" t="inlineStr">
        <is>
          <t>email-catalogue/NOKEY__CG_Registry_Status_Notifier__8ebf6001/Send_Status_Acknowledged_Email.html</t>
        </is>
      </c>
      <c r="L83" s="6" t="inlineStr">
        <is>
          <t>Yes</t>
        </is>
      </c>
      <c r="M83" s="6" t="inlineStr">
        <is>
          <t>Yes</t>
        </is>
      </c>
      <c r="N83" s="6" t="inlineStr">
        <is>
          <t>Palette, alt text, width and image host checked (test:emailcatalogue, test:brand; ACCEPTANCE 51/51)</t>
        </is>
      </c>
      <c r="O83" s="6" t="inlineStr">
        <is>
          <t>Live, identical to template</t>
        </is>
      </c>
      <c r="P83" s="12" t="inlineStr">
        <is>
          <t>OK</t>
        </is>
      </c>
      <c r="Q83" s="6" t="n"/>
      <c r="R83" s="6" t="n"/>
      <c r="S83" s="8" t="n"/>
      <c r="T83" s="9" t="n"/>
      <c r="U83" s="8" t="n"/>
    </row>
    <row r="84">
      <c r="A84" s="6" t="inlineStr">
        <is>
          <t>TR-005</t>
        </is>
      </c>
      <c r="B84" s="6" t="inlineStr">
        <is>
          <t>Flow e-mail · catalogue</t>
        </is>
      </c>
      <c r="C84" s="6" t="inlineStr">
        <is>
          <t>Document Portal</t>
        </is>
      </c>
      <c r="D84" s="6" t="inlineStr">
        <is>
          <t>NOKEY.status-progress — status-progress</t>
        </is>
      </c>
      <c r="E84" s="6" t="inlineStr">
        <is>
          <t>CG_Registry_Status_Notifier</t>
        </is>
      </c>
      <c r="F84" s="6" t="inlineStr">
        <is>
          <t>8ebf6001-89cd-49c9-a9b6-4dedb9a5768b</t>
        </is>
      </c>
      <c r="G84" s="6" t="inlineStr">
        <is>
          <t>Send_Status_Progress_Email</t>
        </is>
      </c>
      <c r="H84" s="6" t="inlineStr">
        <is>
          <t>operational (no RN row)</t>
        </is>
      </c>
      <c r="I84" s="6" t="n"/>
      <c r="J84" s="6" t="inlineStr">
        <is>
          <t>@outputs('Compose_Notify_Status_Fields_Progress')?['emailRaw']</t>
        </is>
      </c>
      <c r="K84" s="6" t="inlineStr">
        <is>
          <t>email-catalogue/NOKEY__CG_Registry_Status_Notifier__8ebf6001/Send_Status_Progress_Email.html</t>
        </is>
      </c>
      <c r="L84" s="6" t="inlineStr">
        <is>
          <t>Yes</t>
        </is>
      </c>
      <c r="M84" s="6" t="inlineStr">
        <is>
          <t>Yes</t>
        </is>
      </c>
      <c r="N84" s="6" t="inlineStr">
        <is>
          <t>Palette, alt text, width and image host checked (test:emailcatalogue, test:brand; ACCEPTANCE 51/51)</t>
        </is>
      </c>
      <c r="O84" s="6" t="inlineStr">
        <is>
          <t>Live, identical to template</t>
        </is>
      </c>
      <c r="P84" s="12" t="inlineStr">
        <is>
          <t>OK</t>
        </is>
      </c>
      <c r="Q84" s="6" t="n"/>
      <c r="R84" s="6" t="n"/>
      <c r="S84" s="8" t="n"/>
      <c r="T84" s="9" t="n"/>
      <c r="U84" s="8" t="n"/>
    </row>
    <row r="85">
      <c r="A85" s="6" t="inlineStr">
        <is>
          <t>TR-006</t>
        </is>
      </c>
      <c r="B85" s="6" t="inlineStr">
        <is>
          <t>Flow e-mail · catalogue</t>
        </is>
      </c>
      <c r="C85" s="6" t="inlineStr">
        <is>
          <t>Document Portal</t>
        </is>
      </c>
      <c r="D85" s="6" t="inlineStr">
        <is>
          <t>NOKEY.status-actionrequired — status-actionrequired</t>
        </is>
      </c>
      <c r="E85" s="6" t="inlineStr">
        <is>
          <t>CG_Registry_Status_Notifier</t>
        </is>
      </c>
      <c r="F85" s="6" t="inlineStr">
        <is>
          <t>8ebf6001-89cd-49c9-a9b6-4dedb9a5768b</t>
        </is>
      </c>
      <c r="G85" s="6" t="inlineStr">
        <is>
          <t>Send_Status_ActionRequired_Email</t>
        </is>
      </c>
      <c r="H85" s="6" t="inlineStr">
        <is>
          <t>RN-002</t>
        </is>
      </c>
      <c r="I85" s="6" t="n"/>
      <c r="J85" s="6" t="inlineStr">
        <is>
          <t>@outputs('Compose_Notify_Status_Fields_ActionRequired')?['emailRaw']</t>
        </is>
      </c>
      <c r="K85" s="6" t="inlineStr">
        <is>
          <t>email-catalogue/NOKEY__CG_Registry_Status_Notifier__8ebf6001/Send_Status_ActionRequired_Email.html</t>
        </is>
      </c>
      <c r="L85" s="6" t="inlineStr">
        <is>
          <t>Yes</t>
        </is>
      </c>
      <c r="M85" s="6" t="inlineStr">
        <is>
          <t>Yes</t>
        </is>
      </c>
      <c r="N85" s="6" t="inlineStr">
        <is>
          <t>Palette, alt text, width and image host checked (test:emailcatalogue, test:brand; ACCEPTANCE 51/51)</t>
        </is>
      </c>
      <c r="O85" s="6" t="inlineStr">
        <is>
          <t>Live, identical to template</t>
        </is>
      </c>
      <c r="P85" s="12" t="inlineStr">
        <is>
          <t>OK</t>
        </is>
      </c>
      <c r="Q85" s="6" t="n"/>
      <c r="R85" s="6" t="n"/>
      <c r="S85" s="8" t="n"/>
      <c r="T85" s="9" t="n"/>
      <c r="U85" s="8" t="n"/>
    </row>
    <row r="86">
      <c r="A86" s="6" t="inlineStr">
        <is>
          <t>TR-007</t>
        </is>
      </c>
      <c r="B86" s="6" t="inlineStr">
        <is>
          <t>Flow e-mail · catalogue</t>
        </is>
      </c>
      <c r="C86" s="6" t="inlineStr">
        <is>
          <t>Document Portal</t>
        </is>
      </c>
      <c r="D86" s="6" t="inlineStr">
        <is>
          <t>NOKEY.status-approved — status-approved</t>
        </is>
      </c>
      <c r="E86" s="6" t="inlineStr">
        <is>
          <t>CG_Registry_Status_Notifier</t>
        </is>
      </c>
      <c r="F86" s="6" t="inlineStr">
        <is>
          <t>8ebf6001-89cd-49c9-a9b6-4dedb9a5768b</t>
        </is>
      </c>
      <c r="G86" s="6" t="inlineStr">
        <is>
          <t>Send_Status_Approved_Email</t>
        </is>
      </c>
      <c r="H86" s="6" t="inlineStr">
        <is>
          <t>RN-003</t>
        </is>
      </c>
      <c r="I86" s="6" t="n"/>
      <c r="J86" s="6" t="inlineStr">
        <is>
          <t>@outputs('Compose_Notify_Status_Fields_Approved')?['emailRaw']</t>
        </is>
      </c>
      <c r="K86" s="6" t="inlineStr">
        <is>
          <t>email-catalogue/NOKEY__CG_Registry_Status_Notifier__8ebf6001/Send_Status_Approved_Email.html</t>
        </is>
      </c>
      <c r="L86" s="6" t="inlineStr">
        <is>
          <t>Yes</t>
        </is>
      </c>
      <c r="M86" s="6" t="inlineStr">
        <is>
          <t>Yes</t>
        </is>
      </c>
      <c r="N86" s="6" t="inlineStr">
        <is>
          <t>Palette, alt text, width and image host checked (test:emailcatalogue, test:brand; ACCEPTANCE 51/51)</t>
        </is>
      </c>
      <c r="O86" s="6" t="inlineStr">
        <is>
          <t>Live, identical to template</t>
        </is>
      </c>
      <c r="P86" s="12" t="inlineStr">
        <is>
          <t>OK</t>
        </is>
      </c>
      <c r="Q86" s="6" t="n"/>
      <c r="R86" s="6" t="n"/>
      <c r="S86" s="8" t="n"/>
      <c r="T86" s="9" t="n"/>
      <c r="U86" s="8" t="n"/>
    </row>
    <row r="87">
      <c r="A87" s="6" t="inlineStr">
        <is>
          <t>TR-008</t>
        </is>
      </c>
      <c r="B87" s="6" t="inlineStr">
        <is>
          <t>Flow e-mail · catalogue</t>
        </is>
      </c>
      <c r="C87" s="6" t="inlineStr">
        <is>
          <t>Document Portal</t>
        </is>
      </c>
      <c r="D87" s="6" t="inlineStr">
        <is>
          <t>NOKEY.status-declined — status-declined</t>
        </is>
      </c>
      <c r="E87" s="6" t="inlineStr">
        <is>
          <t>CG_Registry_Status_Notifier</t>
        </is>
      </c>
      <c r="F87" s="6" t="inlineStr">
        <is>
          <t>8ebf6001-89cd-49c9-a9b6-4dedb9a5768b</t>
        </is>
      </c>
      <c r="G87" s="6" t="inlineStr">
        <is>
          <t>Send_Status_Declined_Email</t>
        </is>
      </c>
      <c r="H87" s="6" t="inlineStr">
        <is>
          <t>RN-004</t>
        </is>
      </c>
      <c r="I87" s="6" t="n"/>
      <c r="J87" s="6" t="inlineStr">
        <is>
          <t>@outputs('Compose_Notify_Status_Fields_Declined')?['emailRaw']</t>
        </is>
      </c>
      <c r="K87" s="6" t="inlineStr">
        <is>
          <t>email-catalogue/NOKEY__CG_Registry_Status_Notifier__8ebf6001/Send_Status_Declined_Email.html</t>
        </is>
      </c>
      <c r="L87" s="6" t="inlineStr">
        <is>
          <t>Yes</t>
        </is>
      </c>
      <c r="M87" s="6" t="inlineStr">
        <is>
          <t>Yes</t>
        </is>
      </c>
      <c r="N87" s="6" t="inlineStr">
        <is>
          <t>Palette, alt text, width and image host checked (test:emailcatalogue, test:brand; ACCEPTANCE 51/51)</t>
        </is>
      </c>
      <c r="O87" s="6" t="inlineStr">
        <is>
          <t>Live, identical to template</t>
        </is>
      </c>
      <c r="P87" s="12" t="inlineStr">
        <is>
          <t>OK</t>
        </is>
      </c>
      <c r="Q87" s="6" t="n"/>
      <c r="R87" s="6" t="n"/>
      <c r="S87" s="8" t="n"/>
      <c r="T87" s="9" t="n"/>
      <c r="U87" s="8" t="n"/>
    </row>
    <row r="88">
      <c r="A88" s="6" t="inlineStr">
        <is>
          <t>TR-009</t>
        </is>
      </c>
      <c r="B88" s="6" t="inlineStr">
        <is>
          <t>Flow e-mail · catalogue</t>
        </is>
      </c>
      <c r="C88" s="6" t="inlineStr">
        <is>
          <t>Document Portal</t>
        </is>
      </c>
      <c r="D88" s="6" t="inlineStr">
        <is>
          <t>NOKEY.status-withdrawn — status-withdrawn</t>
        </is>
      </c>
      <c r="E88" s="6" t="inlineStr">
        <is>
          <t>CG_Registry_Status_Notifier</t>
        </is>
      </c>
      <c r="F88" s="6" t="inlineStr">
        <is>
          <t>8ebf6001-89cd-49c9-a9b6-4dedb9a5768b</t>
        </is>
      </c>
      <c r="G88" s="6" t="inlineStr">
        <is>
          <t>Send_Status_Withdrawn_Email</t>
        </is>
      </c>
      <c r="H88" s="6" t="inlineStr">
        <is>
          <t>RN-005</t>
        </is>
      </c>
      <c r="I88" s="6" t="n"/>
      <c r="J88" s="6" t="inlineStr">
        <is>
          <t>@outputs('Compose_Notify_Status_Fields_Withdrawn')?['emailRaw']</t>
        </is>
      </c>
      <c r="K88" s="6" t="inlineStr">
        <is>
          <t>email-catalogue/NOKEY__CG_Registry_Status_Notifier__8ebf6001/Send_Status_Withdrawn_Email.html</t>
        </is>
      </c>
      <c r="L88" s="6" t="inlineStr">
        <is>
          <t>Yes</t>
        </is>
      </c>
      <c r="M88" s="6" t="inlineStr">
        <is>
          <t>Yes</t>
        </is>
      </c>
      <c r="N88" s="6" t="inlineStr">
        <is>
          <t>Palette, alt text, width and image host checked (test:emailcatalogue, test:brand; ACCEPTANCE 51/51)</t>
        </is>
      </c>
      <c r="O88" s="6" t="inlineStr">
        <is>
          <t>Live, identical to template</t>
        </is>
      </c>
      <c r="P88" s="12" t="inlineStr">
        <is>
          <t>OK</t>
        </is>
      </c>
      <c r="Q88" s="6" t="n"/>
      <c r="R88" s="6" t="n"/>
      <c r="S88" s="8" t="n"/>
      <c r="T88" s="9" t="n"/>
      <c r="U88" s="8" t="n"/>
    </row>
    <row r="89">
      <c r="A89" s="6" t="inlineStr">
        <is>
          <t>TR-010</t>
        </is>
      </c>
      <c r="B89" s="6" t="inlineStr">
        <is>
          <t>Flow e-mail · catalogue</t>
        </is>
      </c>
      <c r="C89" s="6" t="inlineStr">
        <is>
          <t>Document Portal</t>
        </is>
      </c>
      <c r="D89" s="6" t="inlineStr">
        <is>
          <t>NOKEY.server-error-alert — server-error-alert</t>
        </is>
      </c>
      <c r="E89" s="6" t="inlineStr">
        <is>
          <t>CG_Registry_Status_Notifier</t>
        </is>
      </c>
      <c r="F89" s="6" t="inlineStr">
        <is>
          <t>8ebf6001-89cd-49c9-a9b6-4dedb9a5768b</t>
        </is>
      </c>
      <c r="G89" s="6" t="inlineStr">
        <is>
          <t>Send_Server_Error_Alert_Email</t>
        </is>
      </c>
      <c r="H89" s="6" t="inlineStr">
        <is>
          <t>SN-007 (operator alert)</t>
        </is>
      </c>
      <c r="I89" s="6" t="n"/>
      <c r="J89" s="6" t="inlineStr">
        <is>
          <t>@outputs('Compose_Notify_Config')?['opsTo']</t>
        </is>
      </c>
      <c r="K89" s="6" t="inlineStr">
        <is>
          <t>email-catalogue/NOKEY__CG_Registry_Status_Notifier__8ebf6001/Send_Server_Error_Alert_Email.html</t>
        </is>
      </c>
      <c r="L89" s="6" t="inlineStr">
        <is>
          <t>Yes</t>
        </is>
      </c>
      <c r="M89" s="6" t="inlineStr">
        <is>
          <t>Yes</t>
        </is>
      </c>
      <c r="N89" s="6" t="inlineStr">
        <is>
          <t>Palette, alt text, width and image host checked (test:emailcatalogue, test:brand; ACCEPTANCE 51/51)</t>
        </is>
      </c>
      <c r="O89" s="6" t="inlineStr">
        <is>
          <t>Live, identical to template</t>
        </is>
      </c>
      <c r="P89" s="12" t="inlineStr">
        <is>
          <t>OK</t>
        </is>
      </c>
      <c r="Q89" s="6" t="n"/>
      <c r="R89" s="6" t="n"/>
      <c r="S89" s="8" t="n"/>
      <c r="T89" s="9" t="n"/>
      <c r="U89" s="8" t="n"/>
    </row>
    <row r="90">
      <c r="A90" s="6" t="inlineStr">
        <is>
          <t>TR-011</t>
        </is>
      </c>
      <c r="B90" s="6" t="inlineStr">
        <is>
          <t>Flow e-mail · catalogue</t>
        </is>
      </c>
      <c r="C90" s="6" t="inlineStr">
        <is>
          <t>Folio Workspace</t>
        </is>
      </c>
      <c r="D90" s="6" t="inlineStr">
        <is>
          <t>SCAN_INTAKE.dgo-scan-notification — dgo-scan-notification</t>
        </is>
      </c>
      <c r="E90" s="6" t="inlineStr">
        <is>
          <t>IP_SCAN_INTAKE</t>
        </is>
      </c>
      <c r="F90" s="6" t="inlineStr">
        <is>
          <t>5504d7f9-cc96-470c-be79-217582faf415</t>
        </is>
      </c>
      <c r="G90" s="6" t="inlineStr">
        <is>
          <t>Send_DGO_Scan_Notification_Email</t>
        </is>
      </c>
      <c r="H90" s="6" t="inlineStr">
        <is>
          <t>operational (no RN row)</t>
        </is>
      </c>
      <c r="I90" s="6" t="n"/>
      <c r="J90" s="6" t="inlineStr">
        <is>
          <t>@outputs('Compose_Scan_Caller')</t>
        </is>
      </c>
      <c r="K90" s="6" t="inlineStr">
        <is>
          <t>email-catalogue/SCAN_INTAKE__IP_SCAN_INTAKE__5504d7f9/Send_DGO_Scan_Notification_Email.html</t>
        </is>
      </c>
      <c r="L90" s="6" t="inlineStr">
        <is>
          <t>Yes</t>
        </is>
      </c>
      <c r="M90" s="6" t="inlineStr">
        <is>
          <t>Yes</t>
        </is>
      </c>
      <c r="N90" s="6" t="inlineStr">
        <is>
          <t>Palette, alt text, width and image host checked (test:emailcatalogue, test:brand; ACCEPTANCE 51/51)</t>
        </is>
      </c>
      <c r="O90" s="6" t="inlineStr">
        <is>
          <t>Live, identical to template</t>
        </is>
      </c>
      <c r="P90" s="12" t="inlineStr">
        <is>
          <t>OK</t>
        </is>
      </c>
      <c r="Q90" s="6" t="n"/>
      <c r="R90" s="6" t="n"/>
      <c r="S90" s="8" t="n"/>
      <c r="T90" s="9" t="n"/>
      <c r="U90" s="8" t="n"/>
    </row>
    <row r="91">
      <c r="A91" s="6" t="inlineStr">
        <is>
          <t>TR-012</t>
        </is>
      </c>
      <c r="B91" s="6" t="inlineStr">
        <is>
          <t>Flow e-mail · catalogue</t>
        </is>
      </c>
      <c r="C91" s="6" t="inlineStr">
        <is>
          <t>Folio Workspace</t>
        </is>
      </c>
      <c r="D91" s="6" t="inlineStr">
        <is>
          <t>SCAN_INTAKE.telemetry — telemetry</t>
        </is>
      </c>
      <c r="E91" s="6" t="inlineStr">
        <is>
          <t>IP_SCAN_INTAKE</t>
        </is>
      </c>
      <c r="F91" s="6" t="inlineStr">
        <is>
          <t>5504d7f9-cc96-470c-be79-217582faf415</t>
        </is>
      </c>
      <c r="G91" s="6" t="inlineStr">
        <is>
          <t>Send_Telemetry_Email</t>
        </is>
      </c>
      <c r="H91" s="6" t="inlineStr">
        <is>
          <t>operational (no RN row)</t>
        </is>
      </c>
      <c r="I91" s="6" t="n"/>
      <c r="J91" s="6" t="inlineStr">
        <is>
          <t>dgsregistry@nitda.gov.ng</t>
        </is>
      </c>
      <c r="K91" s="6" t="inlineStr">
        <is>
          <t>email-catalogue/SCAN_INTAKE__IP_SCAN_INTAKE__5504d7f9/Send_Telemetry_Email.html</t>
        </is>
      </c>
      <c r="L91" s="6" t="inlineStr">
        <is>
          <t>Yes</t>
        </is>
      </c>
      <c r="M91" s="6" t="inlineStr">
        <is>
          <t>Yes</t>
        </is>
      </c>
      <c r="N91" s="6" t="inlineStr">
        <is>
          <t>Palette, alt text, width and image host checked (test:emailcatalogue, test:brand; ACCEPTANCE 51/51)</t>
        </is>
      </c>
      <c r="O91" s="6" t="inlineStr">
        <is>
          <t>Live, identical to template</t>
        </is>
      </c>
      <c r="P91" s="12" t="inlineStr">
        <is>
          <t>OK</t>
        </is>
      </c>
      <c r="Q91" s="6" t="inlineStr">
        <is>
          <t>Fixed recipient dgsregistry@nitda.gov.ng (by owner decision for registry mail).</t>
        </is>
      </c>
      <c r="R91" s="6" t="n"/>
      <c r="S91" s="8" t="n"/>
      <c r="T91" s="9" t="n"/>
      <c r="U91" s="8" t="n"/>
    </row>
    <row r="92">
      <c r="A92" s="6" t="inlineStr">
        <is>
          <t>TR-013</t>
        </is>
      </c>
      <c r="B92" s="6" t="inlineStr">
        <is>
          <t>Flow e-mail · catalogue</t>
        </is>
      </c>
      <c r="C92" s="6" t="inlineStr">
        <is>
          <t>Document Portal</t>
        </is>
      </c>
      <c r="D92" s="6" t="inlineStr">
        <is>
          <t>STATUS.server-error-alert — server-error-alert</t>
        </is>
      </c>
      <c r="E92" s="6" t="inlineStr">
        <is>
          <t>CG_Portal_Status_Check_Endpoint</t>
        </is>
      </c>
      <c r="F92" s="6" t="inlineStr">
        <is>
          <t>60042a2e-dadb-4ad8-a672-38b4132d299f</t>
        </is>
      </c>
      <c r="G92" s="6" t="inlineStr">
        <is>
          <t>Send_Server_Error_Alert_Email</t>
        </is>
      </c>
      <c r="H92" s="6" t="inlineStr">
        <is>
          <t>SN-007 (operator alert)</t>
        </is>
      </c>
      <c r="I92" s="6" t="n"/>
      <c r="J92" s="6" t="inlineStr">
        <is>
          <t>@outputs('Compose_Notify_Config')?['opsTo']</t>
        </is>
      </c>
      <c r="K92" s="6" t="inlineStr">
        <is>
          <t>email-catalogue/STATUS__CG_Portal_Status_Check_Endpoint__60042a2e/Send_Server_Error_Alert_Email.html</t>
        </is>
      </c>
      <c r="L92" s="6" t="inlineStr">
        <is>
          <t>Yes</t>
        </is>
      </c>
      <c r="M92" s="6" t="inlineStr">
        <is>
          <t>Yes</t>
        </is>
      </c>
      <c r="N92" s="6" t="inlineStr">
        <is>
          <t>Palette, alt text, width and image host checked (test:emailcatalogue, test:brand; ACCEPTANCE 51/51)</t>
        </is>
      </c>
      <c r="O92" s="6" t="inlineStr">
        <is>
          <t>Live, identical to template</t>
        </is>
      </c>
      <c r="P92" s="12" t="inlineStr">
        <is>
          <t>OK</t>
        </is>
      </c>
      <c r="Q92" s="6" t="n"/>
      <c r="R92" s="6" t="n"/>
      <c r="S92" s="8" t="n"/>
      <c r="T92" s="9" t="n"/>
      <c r="U92" s="8" t="n"/>
    </row>
    <row r="93">
      <c r="A93" s="6" t="inlineStr">
        <is>
          <t>TR-014</t>
        </is>
      </c>
      <c r="B93" s="6" t="inlineStr">
        <is>
          <t>Flow e-mail · catalogue</t>
        </is>
      </c>
      <c r="C93" s="6" t="inlineStr">
        <is>
          <t>Document Portal</t>
        </is>
      </c>
      <c r="D93" s="6" t="inlineStr">
        <is>
          <t>SUBMISSION.registry-alert — registry-alert</t>
        </is>
      </c>
      <c r="E93" s="6" t="inlineStr">
        <is>
          <t>CG_Submission_Endpoint</t>
        </is>
      </c>
      <c r="F93" s="6" t="inlineStr">
        <is>
          <t>de9ef13b-ae4c-42b0-9afa-20e71a180759</t>
        </is>
      </c>
      <c r="G93" s="6" t="inlineStr">
        <is>
          <t>Send_Registry_Alert_Email</t>
        </is>
      </c>
      <c r="H93" s="6" t="inlineStr">
        <is>
          <t>RN-037</t>
        </is>
      </c>
      <c r="I93" s="6" t="n"/>
      <c r="J93" s="6" t="inlineStr">
        <is>
          <t>@outputs('Compose_Notify_Config')?['registryTo']</t>
        </is>
      </c>
      <c r="K93" s="6" t="inlineStr">
        <is>
          <t>email-catalogue/SUBMISSION__CG_Submission_Endpoint__de9ef13b/Send_Registry_Alert_Email.html</t>
        </is>
      </c>
      <c r="L93" s="6" t="inlineStr">
        <is>
          <t>Yes</t>
        </is>
      </c>
      <c r="M93" s="6" t="inlineStr">
        <is>
          <t>Yes</t>
        </is>
      </c>
      <c r="N93" s="6" t="inlineStr">
        <is>
          <t>Palette, alt text, width and image host checked (test:emailcatalogue, test:brand; ACCEPTANCE 51/51)</t>
        </is>
      </c>
      <c r="O93" s="6" t="inlineStr">
        <is>
          <t>Live, identical to template</t>
        </is>
      </c>
      <c r="P93" s="12" t="inlineStr">
        <is>
          <t>OK</t>
        </is>
      </c>
      <c r="Q93" s="6" t="n"/>
      <c r="R93" s="6" t="n"/>
      <c r="S93" s="8" t="n"/>
      <c r="T93" s="9" t="n"/>
      <c r="U93" s="8" t="n"/>
    </row>
    <row r="94">
      <c r="A94" s="6" t="inlineStr">
        <is>
          <t>TR-015</t>
        </is>
      </c>
      <c r="B94" s="6" t="inlineStr">
        <is>
          <t>Flow e-mail · catalogue</t>
        </is>
      </c>
      <c r="C94" s="6" t="inlineStr">
        <is>
          <t>Document Portal</t>
        </is>
      </c>
      <c r="D94" s="6" t="inlineStr">
        <is>
          <t>SUBMISSION.sender-acknowledgement — sender-acknowledgement</t>
        </is>
      </c>
      <c r="E94" s="6" t="inlineStr">
        <is>
          <t>CG_Submission_Endpoint</t>
        </is>
      </c>
      <c r="F94" s="6" t="inlineStr">
        <is>
          <t>de9ef13b-ae4c-42b0-9afa-20e71a180759</t>
        </is>
      </c>
      <c r="G94" s="6" t="inlineStr">
        <is>
          <t>Send_Sender_Acknowledgement_Email</t>
        </is>
      </c>
      <c r="H94" s="6" t="inlineStr">
        <is>
          <t>RN-001</t>
        </is>
      </c>
      <c r="I94" s="6" t="n"/>
      <c r="J94" s="6" t="inlineStr">
        <is>
          <t>@string(coalesce(actions('Compose_Submission_SenderEmail')?['outputs'],''))</t>
        </is>
      </c>
      <c r="K94" s="6" t="inlineStr">
        <is>
          <t>email-catalogue/SUBMISSION__CG_Submission_Endpoint__de9ef13b/Send_Sender_Acknowledgement_Email.html</t>
        </is>
      </c>
      <c r="L94" s="6" t="inlineStr">
        <is>
          <t>Yes</t>
        </is>
      </c>
      <c r="M94" s="6" t="inlineStr">
        <is>
          <t>Yes</t>
        </is>
      </c>
      <c r="N94" s="6" t="inlineStr">
        <is>
          <t>Palette, alt text, width and image host checked (test:emailcatalogue, test:brand; ACCEPTANCE 51/51)</t>
        </is>
      </c>
      <c r="O94" s="6" t="inlineStr">
        <is>
          <t>Live, identical to template</t>
        </is>
      </c>
      <c r="P94" s="12" t="inlineStr">
        <is>
          <t>OK</t>
        </is>
      </c>
      <c r="Q94" s="6" t="n"/>
      <c r="R94" s="6" t="n"/>
      <c r="S94" s="8" t="n"/>
      <c r="T94" s="9" t="n"/>
      <c r="U94" s="8" t="n"/>
    </row>
    <row r="95">
      <c r="A95" s="6" t="inlineStr">
        <is>
          <t>TR-016</t>
        </is>
      </c>
      <c r="B95" s="6" t="inlineStr">
        <is>
          <t>Flow e-mail · catalogue</t>
        </is>
      </c>
      <c r="C95" s="6" t="inlineStr">
        <is>
          <t>Document Portal</t>
        </is>
      </c>
      <c r="D95" s="6" t="inlineStr">
        <is>
          <t>SUBMISSION.rate-limit-alert — rate-limit-alert</t>
        </is>
      </c>
      <c r="E95" s="6" t="inlineStr">
        <is>
          <t>CG_Submission_Endpoint</t>
        </is>
      </c>
      <c r="F95" s="6" t="inlineStr">
        <is>
          <t>de9ef13b-ae4c-42b0-9afa-20e71a180759</t>
        </is>
      </c>
      <c r="G95" s="6" t="inlineStr">
        <is>
          <t>Send_Rate_Limit_Alert_Email</t>
        </is>
      </c>
      <c r="H95" s="6" t="inlineStr">
        <is>
          <t>SN-007 (operator alert)</t>
        </is>
      </c>
      <c r="I95" s="6" t="n"/>
      <c r="J95" s="6" t="inlineStr">
        <is>
          <t>@outputs('Compose_Notify_Config')?['opsTo']</t>
        </is>
      </c>
      <c r="K95" s="6" t="inlineStr">
        <is>
          <t>email-catalogue/SUBMISSION__CG_Submission_Endpoint__de9ef13b/Send_Rate_Limit_Alert_Email.html</t>
        </is>
      </c>
      <c r="L95" s="6" t="inlineStr">
        <is>
          <t>Yes</t>
        </is>
      </c>
      <c r="M95" s="6" t="inlineStr">
        <is>
          <t>Yes</t>
        </is>
      </c>
      <c r="N95" s="6" t="inlineStr">
        <is>
          <t>Palette, alt text, width and image host checked (test:emailcatalogue, test:brand; ACCEPTANCE 51/51)</t>
        </is>
      </c>
      <c r="O95" s="6" t="inlineStr">
        <is>
          <t>Live, identical to template</t>
        </is>
      </c>
      <c r="P95" s="12" t="inlineStr">
        <is>
          <t>OK</t>
        </is>
      </c>
      <c r="Q95" s="6" t="n"/>
      <c r="R95" s="6" t="n"/>
      <c r="S95" s="8" t="n"/>
      <c r="T95" s="9" t="n"/>
      <c r="U95" s="8" t="n"/>
    </row>
    <row r="96">
      <c r="A96" s="6" t="inlineStr">
        <is>
          <t>TR-017</t>
        </is>
      </c>
      <c r="B96" s="6" t="inlineStr">
        <is>
          <t>Flow e-mail · catalogue</t>
        </is>
      </c>
      <c r="C96" s="6" t="inlineStr">
        <is>
          <t>Document Portal</t>
        </is>
      </c>
      <c r="D96" s="6" t="inlineStr">
        <is>
          <t>SUBMISSION.server-error-alert — server-error-alert</t>
        </is>
      </c>
      <c r="E96" s="6" t="inlineStr">
        <is>
          <t>CG_Submission_Endpoint</t>
        </is>
      </c>
      <c r="F96" s="6" t="inlineStr">
        <is>
          <t>de9ef13b-ae4c-42b0-9afa-20e71a180759</t>
        </is>
      </c>
      <c r="G96" s="6" t="inlineStr">
        <is>
          <t>Send_Server_Error_Alert_Email</t>
        </is>
      </c>
      <c r="H96" s="6" t="inlineStr">
        <is>
          <t>SN-007 (operator alert)</t>
        </is>
      </c>
      <c r="I96" s="6" t="n"/>
      <c r="J96" s="6" t="inlineStr">
        <is>
          <t>@outputs('Compose_Notify_Config')?['opsTo']</t>
        </is>
      </c>
      <c r="K96" s="6" t="inlineStr">
        <is>
          <t>email-catalogue/SUBMISSION__CG_Submission_Endpoint__de9ef13b/Send_Server_Error_Alert_Email.html</t>
        </is>
      </c>
      <c r="L96" s="6" t="inlineStr">
        <is>
          <t>Yes</t>
        </is>
      </c>
      <c r="M96" s="6" t="inlineStr">
        <is>
          <t>Yes</t>
        </is>
      </c>
      <c r="N96" s="6" t="inlineStr">
        <is>
          <t>Palette, alt text, width and image host checked (test:emailcatalogue, test:brand; ACCEPTANCE 51/51)</t>
        </is>
      </c>
      <c r="O96" s="6" t="inlineStr">
        <is>
          <t>Live, identical to template</t>
        </is>
      </c>
      <c r="P96" s="12" t="inlineStr">
        <is>
          <t>OK</t>
        </is>
      </c>
      <c r="Q96" s="6" t="n"/>
      <c r="R96" s="6" t="n"/>
      <c r="S96" s="8" t="n"/>
      <c r="T96" s="9" t="n"/>
      <c r="U96" s="8" t="n"/>
    </row>
    <row r="97">
      <c r="A97" s="6" t="inlineStr">
        <is>
          <t>TR-018</t>
        </is>
      </c>
      <c r="B97" s="6" t="inlineStr">
        <is>
          <t>Flow e-mail · catalogue</t>
        </is>
      </c>
      <c r="C97" s="6" t="inlineStr">
        <is>
          <t>Document Portal</t>
        </is>
      </c>
      <c r="D97" s="6" t="inlineStr">
        <is>
          <t>SUPPORT.helpdesk-alert — helpdesk-alert</t>
        </is>
      </c>
      <c r="E97" s="6" t="inlineStr">
        <is>
          <t>CG_Portal_Support_Endpoint</t>
        </is>
      </c>
      <c r="F97" s="6" t="inlineStr">
        <is>
          <t>4873c936-a2be-4726-8e69-426edb8f70e6</t>
        </is>
      </c>
      <c r="G97" s="6" t="inlineStr">
        <is>
          <t>Send_Helpdesk_Alert_Email</t>
        </is>
      </c>
      <c r="H97" s="6" t="inlineStr">
        <is>
          <t>operational (helpdesk)</t>
        </is>
      </c>
      <c r="I97" s="6" t="n"/>
      <c r="J97" s="6" t="inlineStr">
        <is>
          <t>@outputs('Compose_Notify_Config')?['helpdeskTo']</t>
        </is>
      </c>
      <c r="K97" s="6" t="inlineStr">
        <is>
          <t>email-catalogue/SUPPORT__CG_Portal_Support_Endpoint__4873c936/Send_Helpdesk_Alert_Email.html</t>
        </is>
      </c>
      <c r="L97" s="6" t="inlineStr">
        <is>
          <t>Yes</t>
        </is>
      </c>
      <c r="M97" s="6" t="inlineStr">
        <is>
          <t>Yes</t>
        </is>
      </c>
      <c r="N97" s="6" t="inlineStr">
        <is>
          <t>Palette, alt text, width and image host checked (test:emailcatalogue, test:brand; ACCEPTANCE 51/51)</t>
        </is>
      </c>
      <c r="O97" s="6" t="inlineStr">
        <is>
          <t>Live, identical to template</t>
        </is>
      </c>
      <c r="P97" s="12" t="inlineStr">
        <is>
          <t>OK</t>
        </is>
      </c>
      <c r="Q97" s="6" t="n"/>
      <c r="R97" s="6" t="n"/>
      <c r="S97" s="8" t="n"/>
      <c r="T97" s="9" t="n"/>
      <c r="U97" s="8" t="n"/>
    </row>
    <row r="98">
      <c r="A98" s="6" t="inlineStr">
        <is>
          <t>TR-019</t>
        </is>
      </c>
      <c r="B98" s="6" t="inlineStr">
        <is>
          <t>Flow e-mail · catalogue</t>
        </is>
      </c>
      <c r="C98" s="6" t="inlineStr">
        <is>
          <t>Document Portal</t>
        </is>
      </c>
      <c r="D98" s="6" t="inlineStr">
        <is>
          <t>SUPPORT.support-acknowledgement — support-acknowledgement</t>
        </is>
      </c>
      <c r="E98" s="6" t="inlineStr">
        <is>
          <t>CG_Portal_Support_Endpoint</t>
        </is>
      </c>
      <c r="F98" s="6" t="inlineStr">
        <is>
          <t>4873c936-a2be-4726-8e69-426edb8f70e6</t>
        </is>
      </c>
      <c r="G98" s="6" t="inlineStr">
        <is>
          <t>Send_Support_Acknowledgement_Email</t>
        </is>
      </c>
      <c r="H98" s="6" t="inlineStr">
        <is>
          <t>RN-007</t>
        </is>
      </c>
      <c r="I98" s="6" t="n"/>
      <c r="J98" s="6" t="inlineStr">
        <is>
          <t>@outputs('Compose_Notify_Support_Fields')?['emailRaw']</t>
        </is>
      </c>
      <c r="K98" s="6" t="inlineStr">
        <is>
          <t>email-catalogue/SUPPORT__CG_Portal_Support_Endpoint__4873c936/Send_Support_Acknowledgement_Email.html</t>
        </is>
      </c>
      <c r="L98" s="6" t="inlineStr">
        <is>
          <t>Yes</t>
        </is>
      </c>
      <c r="M98" s="6" t="inlineStr">
        <is>
          <t>Yes</t>
        </is>
      </c>
      <c r="N98" s="6" t="inlineStr">
        <is>
          <t>Palette, alt text, width and image host checked (test:emailcatalogue, test:brand; ACCEPTANCE 51/51)</t>
        </is>
      </c>
      <c r="O98" s="6" t="inlineStr">
        <is>
          <t>Live, identical to template</t>
        </is>
      </c>
      <c r="P98" s="12" t="inlineStr">
        <is>
          <t>OK</t>
        </is>
      </c>
      <c r="Q98" s="6" t="n"/>
      <c r="R98" s="6" t="n"/>
      <c r="S98" s="8" t="n"/>
      <c r="T98" s="9" t="n"/>
      <c r="U98" s="8" t="n"/>
    </row>
    <row r="99">
      <c r="A99" s="6" t="inlineStr">
        <is>
          <t>TR-020</t>
        </is>
      </c>
      <c r="B99" s="6" t="inlineStr">
        <is>
          <t>Flow e-mail · catalogue</t>
        </is>
      </c>
      <c r="C99" s="6" t="inlineStr">
        <is>
          <t>Document Portal</t>
        </is>
      </c>
      <c r="D99" s="6" t="inlineStr">
        <is>
          <t>SUPPORT.rate-limit-alert — rate-limit-alert</t>
        </is>
      </c>
      <c r="E99" s="6" t="inlineStr">
        <is>
          <t>CG_Portal_Support_Endpoint</t>
        </is>
      </c>
      <c r="F99" s="6" t="inlineStr">
        <is>
          <t>4873c936-a2be-4726-8e69-426edb8f70e6</t>
        </is>
      </c>
      <c r="G99" s="6" t="inlineStr">
        <is>
          <t>Send_Rate_Limit_Alert_Email</t>
        </is>
      </c>
      <c r="H99" s="6" t="inlineStr">
        <is>
          <t>SN-007 (operator alert)</t>
        </is>
      </c>
      <c r="I99" s="6" t="n"/>
      <c r="J99" s="6" t="inlineStr">
        <is>
          <t>@outputs('Compose_Notify_Config')?['opsTo']</t>
        </is>
      </c>
      <c r="K99" s="6" t="inlineStr">
        <is>
          <t>email-catalogue/SUPPORT__CG_Portal_Support_Endpoint__4873c936/Send_Rate_Limit_Alert_Email.html</t>
        </is>
      </c>
      <c r="L99" s="6" t="inlineStr">
        <is>
          <t>Yes</t>
        </is>
      </c>
      <c r="M99" s="6" t="inlineStr">
        <is>
          <t>Yes</t>
        </is>
      </c>
      <c r="N99" s="6" t="inlineStr">
        <is>
          <t>Palette, alt text, width and image host checked (test:emailcatalogue, test:brand; ACCEPTANCE 51/51)</t>
        </is>
      </c>
      <c r="O99" s="6" t="inlineStr">
        <is>
          <t>Live, identical to template</t>
        </is>
      </c>
      <c r="P99" s="12" t="inlineStr">
        <is>
          <t>OK</t>
        </is>
      </c>
      <c r="Q99" s="6" t="n"/>
      <c r="R99" s="6" t="n"/>
      <c r="S99" s="8" t="n"/>
      <c r="T99" s="9" t="n"/>
      <c r="U99" s="8" t="n"/>
    </row>
    <row r="100">
      <c r="A100" s="6" t="inlineStr">
        <is>
          <t>TR-021</t>
        </is>
      </c>
      <c r="B100" s="6" t="inlineStr">
        <is>
          <t>Flow e-mail · catalogue</t>
        </is>
      </c>
      <c r="C100" s="6" t="inlineStr">
        <is>
          <t>Document Portal</t>
        </is>
      </c>
      <c r="D100" s="6" t="inlineStr">
        <is>
          <t>SUPPORT.server-error-alert — server-error-alert</t>
        </is>
      </c>
      <c r="E100" s="6" t="inlineStr">
        <is>
          <t>CG_Portal_Support_Endpoint</t>
        </is>
      </c>
      <c r="F100" s="6" t="inlineStr">
        <is>
          <t>4873c936-a2be-4726-8e69-426edb8f70e6</t>
        </is>
      </c>
      <c r="G100" s="6" t="inlineStr">
        <is>
          <t>Send_Server_Error_Alert_Email</t>
        </is>
      </c>
      <c r="H100" s="6" t="inlineStr">
        <is>
          <t>SN-007 (operator alert)</t>
        </is>
      </c>
      <c r="I100" s="6" t="n"/>
      <c r="J100" s="6" t="inlineStr">
        <is>
          <t>@outputs('Compose_Notify_Config')?['opsTo']</t>
        </is>
      </c>
      <c r="K100" s="6" t="inlineStr">
        <is>
          <t>email-catalogue/SUPPORT__CG_Portal_Support_Endpoint__4873c936/Send_Server_Error_Alert_Email.html</t>
        </is>
      </c>
      <c r="L100" s="6" t="inlineStr">
        <is>
          <t>Yes</t>
        </is>
      </c>
      <c r="M100" s="6" t="inlineStr">
        <is>
          <t>Yes</t>
        </is>
      </c>
      <c r="N100" s="6" t="inlineStr">
        <is>
          <t>Palette, alt text, width and image host checked (test:emailcatalogue, test:brand; ACCEPTANCE 51/51)</t>
        </is>
      </c>
      <c r="O100" s="6" t="inlineStr">
        <is>
          <t>Live, identical to template</t>
        </is>
      </c>
      <c r="P100" s="12" t="inlineStr">
        <is>
          <t>OK</t>
        </is>
      </c>
      <c r="Q100" s="6" t="n"/>
      <c r="R100" s="6" t="n"/>
      <c r="S100" s="8" t="n"/>
      <c r="T100" s="9" t="n"/>
      <c r="U100" s="8" t="n"/>
    </row>
    <row r="101">
      <c r="A101" s="6" t="inlineStr">
        <is>
          <t>TR-022</t>
        </is>
      </c>
      <c r="B101" s="6" t="inlineStr">
        <is>
          <t>Flow e-mail · catalogue</t>
        </is>
      </c>
      <c r="C101" s="6" t="inlineStr">
        <is>
          <t>Document Portal</t>
        </is>
      </c>
      <c r="D101" s="6" t="inlineStr">
        <is>
          <t>UPLOAD.server-error-alert — server-error-alert</t>
        </is>
      </c>
      <c r="E101" s="6" t="inlineStr">
        <is>
          <t>CG_Upload_Endpoint</t>
        </is>
      </c>
      <c r="F101" s="6" t="inlineStr">
        <is>
          <t>df82e331-b800-4a8d-996e-d2b2ca846c77</t>
        </is>
      </c>
      <c r="G101" s="6" t="inlineStr">
        <is>
          <t>Send_Server_Error_Alert_Email</t>
        </is>
      </c>
      <c r="H101" s="6" t="inlineStr">
        <is>
          <t>SN-007 (operator alert)</t>
        </is>
      </c>
      <c r="I101" s="6" t="n"/>
      <c r="J101" s="6" t="inlineStr">
        <is>
          <t>@outputs('Compose_Notify_Config')?['opsTo']</t>
        </is>
      </c>
      <c r="K101" s="6" t="inlineStr">
        <is>
          <t>email-catalogue/UPLOAD__CG_Upload_Endpoint__df82e331/Send_Server_Error_Alert_Email.html</t>
        </is>
      </c>
      <c r="L101" s="6" t="inlineStr">
        <is>
          <t>Yes</t>
        </is>
      </c>
      <c r="M101" s="6" t="inlineStr">
        <is>
          <t>Yes</t>
        </is>
      </c>
      <c r="N101" s="6" t="inlineStr">
        <is>
          <t>Palette, alt text, width and image host checked (test:emailcatalogue, test:brand; ACCEPTANCE 51/51)</t>
        </is>
      </c>
      <c r="O101" s="6" t="inlineStr">
        <is>
          <t>Live, identical to template</t>
        </is>
      </c>
      <c r="P101" s="12" t="inlineStr">
        <is>
          <t>OK</t>
        </is>
      </c>
      <c r="Q101" s="6" t="n"/>
      <c r="R101" s="6" t="n"/>
      <c r="S101" s="8" t="n"/>
      <c r="T101" s="9" t="n"/>
      <c r="U101" s="8" t="n"/>
    </row>
    <row r="102">
      <c r="A102" s="6" t="inlineStr">
        <is>
          <t>TR-023</t>
        </is>
      </c>
      <c r="B102" s="6" t="inlineStr">
        <is>
          <t>Flow e-mail · catalogue</t>
        </is>
      </c>
      <c r="C102" s="6" t="inlineStr">
        <is>
          <t>Document Portal</t>
        </is>
      </c>
      <c r="D102" s="6" t="inlineStr">
        <is>
          <t>UPLOAD.telemetry — telemetry</t>
        </is>
      </c>
      <c r="E102" s="6" t="inlineStr">
        <is>
          <t>CG_Upload_Endpoint</t>
        </is>
      </c>
      <c r="F102" s="6" t="inlineStr">
        <is>
          <t>df82e331-b800-4a8d-996e-d2b2ca846c77</t>
        </is>
      </c>
      <c r="G102" s="6" t="inlineStr">
        <is>
          <t>Send_Telemetry_Email</t>
        </is>
      </c>
      <c r="H102" s="6" t="inlineStr">
        <is>
          <t>RN-025</t>
        </is>
      </c>
      <c r="I102" s="6" t="n"/>
      <c r="J102" s="6" t="inlineStr">
        <is>
          <t>dgsregistry@nitda.gov.ng</t>
        </is>
      </c>
      <c r="K102" s="6" t="inlineStr">
        <is>
          <t>email-catalogue/UPLOAD__CG_Upload_Endpoint__df82e331/Send_Telemetry_Email.html</t>
        </is>
      </c>
      <c r="L102" s="6" t="inlineStr">
        <is>
          <t>Yes</t>
        </is>
      </c>
      <c r="M102" s="6" t="inlineStr">
        <is>
          <t>Automated checks only (added after the review)</t>
        </is>
      </c>
      <c r="N102" s="6" t="inlineStr">
        <is>
          <t>Palette, alt text, width and image host checked (test:emailcatalogue, test:brand; ACCEPTANCE 51/51)</t>
        </is>
      </c>
      <c r="O102" s="6" t="inlineStr">
        <is>
          <t>Live, identical to template</t>
        </is>
      </c>
      <c r="P102" s="12" t="inlineStr">
        <is>
          <t>OK</t>
        </is>
      </c>
      <c r="Q102" s="6" t="inlineStr">
        <is>
          <t>Fixed recipient dgsregistry@nitda.gov.ng (by owner decision for registry mail).</t>
        </is>
      </c>
      <c r="R102" s="6" t="n"/>
      <c r="S102" s="8" t="n"/>
      <c r="T102" s="9" t="n"/>
      <c r="U102" s="8" t="n"/>
    </row>
    <row r="103">
      <c r="A103" s="6" t="inlineStr">
        <is>
          <t>TR-024</t>
        </is>
      </c>
      <c r="B103" s="6" t="inlineStr">
        <is>
          <t>Flow e-mail · catalogue</t>
        </is>
      </c>
      <c r="C103" s="6" t="inlineStr">
        <is>
          <t>Document Portal</t>
        </is>
      </c>
      <c r="D103" s="6" t="inlineStr">
        <is>
          <t>VERIFY_CONFIRM.lockout-alert — lockout-alert</t>
        </is>
      </c>
      <c r="E103" s="6" t="inlineStr">
        <is>
          <t>CG_Portal_Verification_Confirmation_Endpoint</t>
        </is>
      </c>
      <c r="F103" s="6" t="inlineStr">
        <is>
          <t>f96e3448-3c79-4d42-b224-825258a552ba</t>
        </is>
      </c>
      <c r="G103" s="6" t="inlineStr">
        <is>
          <t>Send_Lockout_Alert_Email</t>
        </is>
      </c>
      <c r="H103" s="6" t="inlineStr">
        <is>
          <t>SN-007 (operator alert)</t>
        </is>
      </c>
      <c r="I103" s="6" t="n"/>
      <c r="J103" s="6" t="inlineStr">
        <is>
          <t>@outputs('Compose_Notify_Config')?['opsTo']</t>
        </is>
      </c>
      <c r="K103" s="6" t="inlineStr">
        <is>
          <t>email-catalogue/VERIFY_CONFIRM__CG_Portal_Verification_Confirmation_Endpoint__f96e3448/Send_Lockout_Alert_Email.html</t>
        </is>
      </c>
      <c r="L103" s="6" t="inlineStr">
        <is>
          <t>Yes</t>
        </is>
      </c>
      <c r="M103" s="6" t="inlineStr">
        <is>
          <t>Yes</t>
        </is>
      </c>
      <c r="N103" s="6" t="inlineStr">
        <is>
          <t>Palette, alt text, width and image host checked (test:emailcatalogue, test:brand; ACCEPTANCE 51/51)</t>
        </is>
      </c>
      <c r="O103" s="6" t="inlineStr">
        <is>
          <t>Live, identical to template</t>
        </is>
      </c>
      <c r="P103" s="12" t="inlineStr">
        <is>
          <t>OK</t>
        </is>
      </c>
      <c r="Q103" s="6" t="n"/>
      <c r="R103" s="6" t="n"/>
      <c r="S103" s="8" t="n"/>
      <c r="T103" s="9" t="n"/>
      <c r="U103" s="8" t="n"/>
    </row>
    <row r="104">
      <c r="A104" s="6" t="inlineStr">
        <is>
          <t>TR-025</t>
        </is>
      </c>
      <c r="B104" s="6" t="inlineStr">
        <is>
          <t>Flow e-mail · catalogue</t>
        </is>
      </c>
      <c r="C104" s="6" t="inlineStr">
        <is>
          <t>Document Portal</t>
        </is>
      </c>
      <c r="D104" s="6" t="inlineStr">
        <is>
          <t>VERIFY_CONFIRM.server-error-alert — server-error-alert</t>
        </is>
      </c>
      <c r="E104" s="6" t="inlineStr">
        <is>
          <t>CG_Portal_Verification_Confirmation_Endpoint</t>
        </is>
      </c>
      <c r="F104" s="6" t="inlineStr">
        <is>
          <t>f96e3448-3c79-4d42-b224-825258a552ba</t>
        </is>
      </c>
      <c r="G104" s="6" t="inlineStr">
        <is>
          <t>Send_Server_Error_Alert_Email</t>
        </is>
      </c>
      <c r="H104" s="6" t="inlineStr">
        <is>
          <t>SN-007 (operator alert)</t>
        </is>
      </c>
      <c r="I104" s="6" t="n"/>
      <c r="J104" s="6" t="inlineStr">
        <is>
          <t>@outputs('Compose_Notify_Config')?['opsTo']</t>
        </is>
      </c>
      <c r="K104" s="6" t="inlineStr">
        <is>
          <t>email-catalogue/VERIFY_CONFIRM__CG_Portal_Verification_Confirmation_Endpoint__f96e3448/Send_Server_Error_Alert_Email.html</t>
        </is>
      </c>
      <c r="L104" s="6" t="inlineStr">
        <is>
          <t>Yes</t>
        </is>
      </c>
      <c r="M104" s="6" t="inlineStr">
        <is>
          <t>Yes</t>
        </is>
      </c>
      <c r="N104" s="6" t="inlineStr">
        <is>
          <t>Palette, alt text, width and image host checked (test:emailcatalogue, test:brand; ACCEPTANCE 51/51)</t>
        </is>
      </c>
      <c r="O104" s="6" t="inlineStr">
        <is>
          <t>Live, identical to template</t>
        </is>
      </c>
      <c r="P104" s="12" t="inlineStr">
        <is>
          <t>OK</t>
        </is>
      </c>
      <c r="Q104" s="6" t="n"/>
      <c r="R104" s="6" t="n"/>
      <c r="S104" s="8" t="n"/>
      <c r="T104" s="9" t="n"/>
      <c r="U104" s="8" t="n"/>
    </row>
    <row r="105">
      <c r="A105" s="6" t="inlineStr">
        <is>
          <t>TR-026</t>
        </is>
      </c>
      <c r="B105" s="6" t="inlineStr">
        <is>
          <t>Flow e-mail · catalogue</t>
        </is>
      </c>
      <c r="C105" s="6" t="inlineStr">
        <is>
          <t>Document Portal</t>
        </is>
      </c>
      <c r="D105" s="6" t="inlineStr">
        <is>
          <t>VERIFY.verification-code — verification-code</t>
        </is>
      </c>
      <c r="E105" s="6" t="inlineStr">
        <is>
          <t>CG_Portal_Verification_Endpoint</t>
        </is>
      </c>
      <c r="F105" s="6" t="inlineStr">
        <is>
          <t>ba47f79b-a831-49e8-b00b-3f8937c331df</t>
        </is>
      </c>
      <c r="G105" s="6" t="inlineStr">
        <is>
          <t>Send_Verification_Code_Email</t>
        </is>
      </c>
      <c r="H105" s="6" t="inlineStr">
        <is>
          <t>RN-006</t>
        </is>
      </c>
      <c r="I105" s="6" t="n"/>
      <c r="J105" s="6" t="inlineStr">
        <is>
          <t>@outputs('Compose_Verify_Email')</t>
        </is>
      </c>
      <c r="K105" s="6" t="inlineStr">
        <is>
          <t>email-catalogue/VERIFY__CG_Portal_Verification_Endpoint__ba47f79b/Send_Verification_Code_Email.html</t>
        </is>
      </c>
      <c r="L105" s="6" t="inlineStr">
        <is>
          <t>Yes</t>
        </is>
      </c>
      <c r="M105" s="6" t="inlineStr">
        <is>
          <t>Yes</t>
        </is>
      </c>
      <c r="N105" s="6" t="inlineStr">
        <is>
          <t>Palette, alt text, width and image host checked (test:emailcatalogue, test:brand; ACCEPTANCE 51/51)</t>
        </is>
      </c>
      <c r="O105" s="6" t="inlineStr">
        <is>
          <t>Live, identical to template</t>
        </is>
      </c>
      <c r="P105" s="12" t="inlineStr">
        <is>
          <t>OK</t>
        </is>
      </c>
      <c r="Q105" s="6" t="n"/>
      <c r="R105" s="6" t="n"/>
      <c r="S105" s="8" t="n"/>
      <c r="T105" s="9" t="n"/>
      <c r="U105" s="8" t="n"/>
    </row>
    <row r="106">
      <c r="A106" s="6" t="inlineStr">
        <is>
          <t>TR-027</t>
        </is>
      </c>
      <c r="B106" s="6" t="inlineStr">
        <is>
          <t>Flow e-mail · catalogue</t>
        </is>
      </c>
      <c r="C106" s="6" t="inlineStr">
        <is>
          <t>Document Portal</t>
        </is>
      </c>
      <c r="D106" s="6" t="inlineStr">
        <is>
          <t>VERIFY.undelivered-alert — undelivered-alert</t>
        </is>
      </c>
      <c r="E106" s="6" t="inlineStr">
        <is>
          <t>CG_Portal_Verification_Endpoint</t>
        </is>
      </c>
      <c r="F106" s="6" t="inlineStr">
        <is>
          <t>ba47f79b-a831-49e8-b00b-3f8937c331df</t>
        </is>
      </c>
      <c r="G106" s="6" t="inlineStr">
        <is>
          <t>Send_Undelivered_Alert_Email</t>
        </is>
      </c>
      <c r="H106" s="6" t="inlineStr">
        <is>
          <t>SN-007 (operator alert)</t>
        </is>
      </c>
      <c r="I106" s="6" t="n"/>
      <c r="J106" s="6" t="inlineStr">
        <is>
          <t>@outputs('Compose_Notify_Config_C5')?['opsTo']</t>
        </is>
      </c>
      <c r="K106" s="6" t="inlineStr">
        <is>
          <t>email-catalogue/VERIFY__CG_Portal_Verification_Endpoint__ba47f79b/Send_Undelivered_Alert_Email.html</t>
        </is>
      </c>
      <c r="L106" s="6" t="inlineStr">
        <is>
          <t>Yes</t>
        </is>
      </c>
      <c r="M106" s="6" t="inlineStr">
        <is>
          <t>Yes</t>
        </is>
      </c>
      <c r="N106" s="6" t="inlineStr">
        <is>
          <t>Palette, alt text, width and image host checked (test:emailcatalogue, test:brand; ACCEPTANCE 51/51)</t>
        </is>
      </c>
      <c r="O106" s="6" t="inlineStr">
        <is>
          <t>Live, identical to template</t>
        </is>
      </c>
      <c r="P106" s="12" t="inlineStr">
        <is>
          <t>OK</t>
        </is>
      </c>
      <c r="Q106" s="6" t="n"/>
      <c r="R106" s="6" t="n"/>
      <c r="S106" s="8" t="n"/>
      <c r="T106" s="9" t="n"/>
      <c r="U106" s="8" t="n"/>
    </row>
    <row r="107">
      <c r="A107" s="6" t="inlineStr">
        <is>
          <t>TR-028</t>
        </is>
      </c>
      <c r="B107" s="6" t="inlineStr">
        <is>
          <t>Flow e-mail · catalogue</t>
        </is>
      </c>
      <c r="C107" s="6" t="inlineStr">
        <is>
          <t>Document Portal</t>
        </is>
      </c>
      <c r="D107" s="6" t="inlineStr">
        <is>
          <t>VERIFY.server-error-alert — server-error-alert</t>
        </is>
      </c>
      <c r="E107" s="6" t="inlineStr">
        <is>
          <t>CG_Portal_Verification_Endpoint</t>
        </is>
      </c>
      <c r="F107" s="6" t="inlineStr">
        <is>
          <t>ba47f79b-a831-49e8-b00b-3f8937c331df</t>
        </is>
      </c>
      <c r="G107" s="6" t="inlineStr">
        <is>
          <t>Send_Server_Error_Alert_Email</t>
        </is>
      </c>
      <c r="H107" s="6" t="inlineStr">
        <is>
          <t>SN-007 (operator alert)</t>
        </is>
      </c>
      <c r="I107" s="6" t="n"/>
      <c r="J107" s="6" t="inlineStr">
        <is>
          <t>@outputs('Compose_Notify_Config_C5')?['opsTo']</t>
        </is>
      </c>
      <c r="K107" s="6" t="inlineStr">
        <is>
          <t>email-catalogue/VERIFY__CG_Portal_Verification_Endpoint__ba47f79b/Send_Server_Error_Alert_Email.html</t>
        </is>
      </c>
      <c r="L107" s="6" t="inlineStr">
        <is>
          <t>Yes</t>
        </is>
      </c>
      <c r="M107" s="6" t="inlineStr">
        <is>
          <t>Yes</t>
        </is>
      </c>
      <c r="N107" s="6" t="inlineStr">
        <is>
          <t>Palette, alt text, width and image host checked (test:emailcatalogue, test:brand; ACCEPTANCE 51/51)</t>
        </is>
      </c>
      <c r="O107" s="6" t="inlineStr">
        <is>
          <t>Live, identical to template</t>
        </is>
      </c>
      <c r="P107" s="12" t="inlineStr">
        <is>
          <t>OK</t>
        </is>
      </c>
      <c r="Q107" s="6" t="n"/>
      <c r="R107" s="6" t="n"/>
      <c r="S107" s="8" t="n"/>
      <c r="T107" s="9" t="n"/>
      <c r="U107" s="8" t="n"/>
    </row>
    <row r="108">
      <c r="A108" s="6" t="inlineStr">
        <is>
          <t>TR-029</t>
        </is>
      </c>
      <c r="B108" s="6" t="inlineStr">
        <is>
          <t>Flow e-mail · catalogue</t>
        </is>
      </c>
      <c r="C108" s="6" t="inlineStr">
        <is>
          <t>Document Portal</t>
        </is>
      </c>
      <c r="D108" s="6" t="inlineStr">
        <is>
          <t>WRITEBACK.writeback-alert — writeback-alert</t>
        </is>
      </c>
      <c r="E108" s="6" t="inlineStr">
        <is>
          <t>CG_Portal_Writeback_Endpoint</t>
        </is>
      </c>
      <c r="F108" s="6" t="inlineStr">
        <is>
          <t>bde13d27-73b3-4e1a-9687-eb289b039c7a</t>
        </is>
      </c>
      <c r="G108" s="6" t="inlineStr">
        <is>
          <t>Send_Writeback_Alert_Email</t>
        </is>
      </c>
      <c r="H108" s="6" t="inlineStr">
        <is>
          <t>SN-007 (operator alert)</t>
        </is>
      </c>
      <c r="I108" s="6" t="n"/>
      <c r="J108" s="6" t="inlineStr">
        <is>
          <t>@outputs('Compose_Notify_Config')?['registryTo']</t>
        </is>
      </c>
      <c r="K108" s="6" t="inlineStr">
        <is>
          <t>email-catalogue/WRITEBACK__CG_Portal_Writeback_Endpoint__bde13d27/Send_Writeback_Alert_Email.html</t>
        </is>
      </c>
      <c r="L108" s="6" t="inlineStr">
        <is>
          <t>Yes</t>
        </is>
      </c>
      <c r="M108" s="6" t="inlineStr">
        <is>
          <t>Yes</t>
        </is>
      </c>
      <c r="N108" s="6" t="inlineStr">
        <is>
          <t>Palette, alt text, width and image host checked (test:emailcatalogue, test:brand; ACCEPTANCE 51/51)</t>
        </is>
      </c>
      <c r="O108" s="6" t="inlineStr">
        <is>
          <t>Live, identical to template</t>
        </is>
      </c>
      <c r="P108" s="12" t="inlineStr">
        <is>
          <t>OK</t>
        </is>
      </c>
      <c r="Q108" s="6" t="n"/>
      <c r="R108" s="6" t="n"/>
      <c r="S108" s="8" t="n"/>
      <c r="T108" s="9" t="n"/>
      <c r="U108" s="8" t="n"/>
    </row>
    <row r="109">
      <c r="A109" s="6" t="inlineStr">
        <is>
          <t>TR-030</t>
        </is>
      </c>
      <c r="B109" s="6" t="inlineStr">
        <is>
          <t>Flow e-mail · catalogue</t>
        </is>
      </c>
      <c r="C109" s="6" t="inlineStr">
        <is>
          <t>Document Portal</t>
        </is>
      </c>
      <c r="D109" s="6" t="inlineStr">
        <is>
          <t>WRITEBACK.citizen-respond — citizen-respond</t>
        </is>
      </c>
      <c r="E109" s="6" t="inlineStr">
        <is>
          <t>CG_Portal_Writeback_Endpoint</t>
        </is>
      </c>
      <c r="F109" s="6" t="inlineStr">
        <is>
          <t>bde13d27-73b3-4e1a-9687-eb289b039c7a</t>
        </is>
      </c>
      <c r="G109" s="6" t="inlineStr">
        <is>
          <t>Send_Citizen_Respond_Email</t>
        </is>
      </c>
      <c r="H109" s="6" t="inlineStr">
        <is>
          <t>operational (no RN row)</t>
        </is>
      </c>
      <c r="I109" s="6" t="n"/>
      <c r="J109" s="6" t="inlineStr">
        <is>
          <t>@outputs('Compose_Notify_Writeback_Fields')?['senderEmailRaw']</t>
        </is>
      </c>
      <c r="K109" s="6" t="inlineStr">
        <is>
          <t>email-catalogue/WRITEBACK__CG_Portal_Writeback_Endpoint__bde13d27/Send_Citizen_Respond_Email.html</t>
        </is>
      </c>
      <c r="L109" s="6" t="inlineStr">
        <is>
          <t>Yes</t>
        </is>
      </c>
      <c r="M109" s="6" t="inlineStr">
        <is>
          <t>Yes</t>
        </is>
      </c>
      <c r="N109" s="6" t="inlineStr">
        <is>
          <t>Palette, alt text, width and image host checked (test:emailcatalogue, test:brand; ACCEPTANCE 51/51)</t>
        </is>
      </c>
      <c r="O109" s="6" t="inlineStr">
        <is>
          <t>Live, identical to template</t>
        </is>
      </c>
      <c r="P109" s="12" t="inlineStr">
        <is>
          <t>OK</t>
        </is>
      </c>
      <c r="Q109" s="6" t="n"/>
      <c r="R109" s="6" t="n"/>
      <c r="S109" s="8" t="n"/>
      <c r="T109" s="9" t="n"/>
      <c r="U109" s="8" t="n"/>
    </row>
    <row r="110">
      <c r="A110" s="6" t="inlineStr">
        <is>
          <t>TR-031</t>
        </is>
      </c>
      <c r="B110" s="6" t="inlineStr">
        <is>
          <t>Flow e-mail · catalogue</t>
        </is>
      </c>
      <c r="C110" s="6" t="inlineStr">
        <is>
          <t>Document Portal</t>
        </is>
      </c>
      <c r="D110" s="6" t="inlineStr">
        <is>
          <t>WRITEBACK.citizen-note — citizen-note</t>
        </is>
      </c>
      <c r="E110" s="6" t="inlineStr">
        <is>
          <t>CG_Portal_Writeback_Endpoint</t>
        </is>
      </c>
      <c r="F110" s="6" t="inlineStr">
        <is>
          <t>bde13d27-73b3-4e1a-9687-eb289b039c7a</t>
        </is>
      </c>
      <c r="G110" s="6" t="inlineStr">
        <is>
          <t>Send_Citizen_Note_Email</t>
        </is>
      </c>
      <c r="H110" s="6" t="inlineStr">
        <is>
          <t>operational (no RN row)</t>
        </is>
      </c>
      <c r="I110" s="6" t="n"/>
      <c r="J110" s="6" t="inlineStr">
        <is>
          <t>@outputs('Compose_Notify_Writeback_Fields')?['senderEmailRaw']</t>
        </is>
      </c>
      <c r="K110" s="6" t="inlineStr">
        <is>
          <t>email-catalogue/WRITEBACK__CG_Portal_Writeback_Endpoint__bde13d27/Send_Citizen_Note_Email.html</t>
        </is>
      </c>
      <c r="L110" s="6" t="inlineStr">
        <is>
          <t>Yes</t>
        </is>
      </c>
      <c r="M110" s="6" t="inlineStr">
        <is>
          <t>Yes</t>
        </is>
      </c>
      <c r="N110" s="6" t="inlineStr">
        <is>
          <t>Palette, alt text, width and image host checked (test:emailcatalogue, test:brand; ACCEPTANCE 51/51)</t>
        </is>
      </c>
      <c r="O110" s="6" t="inlineStr">
        <is>
          <t>Live, identical to template</t>
        </is>
      </c>
      <c r="P110" s="12" t="inlineStr">
        <is>
          <t>OK</t>
        </is>
      </c>
      <c r="Q110" s="6" t="n"/>
      <c r="R110" s="6" t="n"/>
      <c r="S110" s="8" t="n"/>
      <c r="T110" s="9" t="n"/>
      <c r="U110" s="8" t="n"/>
    </row>
    <row r="111">
      <c r="A111" s="6" t="inlineStr">
        <is>
          <t>TR-032</t>
        </is>
      </c>
      <c r="B111" s="6" t="inlineStr">
        <is>
          <t>Flow e-mail · catalogue</t>
        </is>
      </c>
      <c r="C111" s="6" t="inlineStr">
        <is>
          <t>Document Portal</t>
        </is>
      </c>
      <c r="D111" s="6" t="inlineStr">
        <is>
          <t>WRITEBACK.citizen-withdraw — citizen-withdraw</t>
        </is>
      </c>
      <c r="E111" s="6" t="inlineStr">
        <is>
          <t>CG_Portal_Writeback_Endpoint</t>
        </is>
      </c>
      <c r="F111" s="6" t="inlineStr">
        <is>
          <t>bde13d27-73b3-4e1a-9687-eb289b039c7a</t>
        </is>
      </c>
      <c r="G111" s="6" t="inlineStr">
        <is>
          <t>Send_Citizen_Withdraw_Email</t>
        </is>
      </c>
      <c r="H111" s="6" t="inlineStr">
        <is>
          <t>RN-005</t>
        </is>
      </c>
      <c r="I111" s="6" t="n"/>
      <c r="J111" s="6" t="inlineStr">
        <is>
          <t>@outputs('Compose_Notify_Writeback_Fields')?['senderEmailRaw']</t>
        </is>
      </c>
      <c r="K111" s="6" t="inlineStr">
        <is>
          <t>email-catalogue/WRITEBACK__CG_Portal_Writeback_Endpoint__bde13d27/Send_Citizen_Withdraw_Email.html</t>
        </is>
      </c>
      <c r="L111" s="6" t="inlineStr">
        <is>
          <t>Yes</t>
        </is>
      </c>
      <c r="M111" s="6" t="inlineStr">
        <is>
          <t>Yes</t>
        </is>
      </c>
      <c r="N111" s="6" t="inlineStr">
        <is>
          <t>Palette, alt text, width and image host checked (test:emailcatalogue, test:brand; ACCEPTANCE 51/51)</t>
        </is>
      </c>
      <c r="O111" s="6" t="inlineStr">
        <is>
          <t>Live, identical to template</t>
        </is>
      </c>
      <c r="P111" s="12" t="inlineStr">
        <is>
          <t>OK</t>
        </is>
      </c>
      <c r="Q111" s="6" t="n"/>
      <c r="R111" s="6" t="n"/>
      <c r="S111" s="8" t="n"/>
      <c r="T111" s="9" t="n"/>
      <c r="U111" s="8" t="n"/>
    </row>
    <row r="112">
      <c r="A112" s="6" t="inlineStr">
        <is>
          <t>TR-033</t>
        </is>
      </c>
      <c r="B112" s="6" t="inlineStr">
        <is>
          <t>Flow e-mail · catalogue</t>
        </is>
      </c>
      <c r="C112" s="6" t="inlineStr">
        <is>
          <t>Document Portal</t>
        </is>
      </c>
      <c r="D112" s="6" t="inlineStr">
        <is>
          <t>WRITEBACK.server-error-alert — server-error-alert</t>
        </is>
      </c>
      <c r="E112" s="6" t="inlineStr">
        <is>
          <t>CG_Portal_Writeback_Endpoint</t>
        </is>
      </c>
      <c r="F112" s="6" t="inlineStr">
        <is>
          <t>bde13d27-73b3-4e1a-9687-eb289b039c7a</t>
        </is>
      </c>
      <c r="G112" s="6" t="inlineStr">
        <is>
          <t>Send_Server_Error_Alert_Email</t>
        </is>
      </c>
      <c r="H112" s="6" t="inlineStr">
        <is>
          <t>SN-007 (operator alert)</t>
        </is>
      </c>
      <c r="I112" s="6" t="n"/>
      <c r="J112" s="6" t="inlineStr">
        <is>
          <t>@outputs('Compose_Notify_Config')?['opsTo']</t>
        </is>
      </c>
      <c r="K112" s="6" t="inlineStr">
        <is>
          <t>email-catalogue/WRITEBACK__CG_Portal_Writeback_Endpoint__bde13d27/Send_Server_Error_Alert_Email.html</t>
        </is>
      </c>
      <c r="L112" s="6" t="inlineStr">
        <is>
          <t>Yes</t>
        </is>
      </c>
      <c r="M112" s="6" t="inlineStr">
        <is>
          <t>Yes</t>
        </is>
      </c>
      <c r="N112" s="6" t="inlineStr">
        <is>
          <t>Palette, alt text, width and image host checked (test:emailcatalogue, test:brand; ACCEPTANCE 51/51)</t>
        </is>
      </c>
      <c r="O112" s="6" t="inlineStr">
        <is>
          <t>Live, identical to template</t>
        </is>
      </c>
      <c r="P112" s="12" t="inlineStr">
        <is>
          <t>OK</t>
        </is>
      </c>
      <c r="Q112" s="6" t="n"/>
      <c r="R112" s="6" t="n"/>
      <c r="S112" s="8" t="n"/>
      <c r="T112" s="9" t="n"/>
      <c r="U112" s="8" t="n"/>
    </row>
    <row r="113">
      <c r="A113" s="6" t="inlineStr">
        <is>
          <t>TR-034</t>
        </is>
      </c>
      <c r="B113" s="6" t="inlineStr">
        <is>
          <t>Flow e-mail · catalogue</t>
        </is>
      </c>
      <c r="C113" s="6" t="inlineStr">
        <is>
          <t>Document Portal</t>
        </is>
      </c>
      <c r="D113" s="6" t="inlineStr">
        <is>
          <t>WRITEBACK.telemetry — telemetry</t>
        </is>
      </c>
      <c r="E113" s="6" t="inlineStr">
        <is>
          <t>CG_Portal_Writeback_Endpoint</t>
        </is>
      </c>
      <c r="F113" s="6" t="inlineStr">
        <is>
          <t>bde13d27-73b3-4e1a-9687-eb289b039c7a</t>
        </is>
      </c>
      <c r="G113" s="6" t="inlineStr">
        <is>
          <t>Send_Telemetry_Email</t>
        </is>
      </c>
      <c r="H113" s="6" t="inlineStr">
        <is>
          <t>RN-025</t>
        </is>
      </c>
      <c r="I113" s="6" t="n"/>
      <c r="J113" s="6" t="inlineStr">
        <is>
          <t>dgsregistry@nitda.gov.ng</t>
        </is>
      </c>
      <c r="K113" s="6" t="inlineStr">
        <is>
          <t>email-catalogue/WRITEBACK__CG_Portal_Writeback_Endpoint__bde13d27/Send_Telemetry_Email.html</t>
        </is>
      </c>
      <c r="L113" s="6" t="inlineStr">
        <is>
          <t>Yes</t>
        </is>
      </c>
      <c r="M113" s="6" t="inlineStr">
        <is>
          <t>Automated checks only (added after the review)</t>
        </is>
      </c>
      <c r="N113" s="6" t="inlineStr">
        <is>
          <t>Palette, alt text, width and image host checked (test:emailcatalogue, test:brand; ACCEPTANCE 51/51)</t>
        </is>
      </c>
      <c r="O113" s="6" t="inlineStr">
        <is>
          <t>Live, identical to template</t>
        </is>
      </c>
      <c r="P113" s="12" t="inlineStr">
        <is>
          <t>OK</t>
        </is>
      </c>
      <c r="Q113" s="6" t="inlineStr">
        <is>
          <t>Fixed recipient dgsregistry@nitda.gov.ng (by owner decision for registry mail).</t>
        </is>
      </c>
      <c r="R113" s="6" t="n"/>
      <c r="S113" s="8" t="n"/>
      <c r="T113" s="9" t="n"/>
      <c r="U113" s="8" t="n"/>
    </row>
    <row r="114">
      <c r="A114" s="6" t="inlineStr">
        <is>
          <t>TR-035</t>
        </is>
      </c>
      <c r="B114" s="6" t="inlineStr">
        <is>
          <t>Flow e-mail · catalogue</t>
        </is>
      </c>
      <c r="C114" s="6" t="inlineStr">
        <is>
          <t>Folio Workspace</t>
        </is>
      </c>
      <c r="D114" s="6" t="inlineStr">
        <is>
          <t>ACTIVITY_LIFECYCLE.server-error-alert — server-error-alert</t>
        </is>
      </c>
      <c r="E114" s="6" t="inlineStr">
        <is>
          <t>IP_Activity_Lifecycle_Endpoint</t>
        </is>
      </c>
      <c r="F114" s="6" t="inlineStr">
        <is>
          <t>b4db02d8-02a0-4bc9-b9d3-06e2aae2448c</t>
        </is>
      </c>
      <c r="G114" s="6" t="inlineStr">
        <is>
          <t>Send_Server_Error_Alert_Email</t>
        </is>
      </c>
      <c r="H114" s="6" t="inlineStr">
        <is>
          <t>SN-007 (operator alert)</t>
        </is>
      </c>
      <c r="I114" s="6" t="n"/>
      <c r="J114" s="6" t="inlineStr">
        <is>
          <t>@outputs('Compose_Notify_Config')?['opsTo']</t>
        </is>
      </c>
      <c r="K114" s="6" t="inlineStr">
        <is>
          <t>email-catalogue/shared/server-error-alert-email.html</t>
        </is>
      </c>
      <c r="L114" s="6" t="inlineStr">
        <is>
          <t>Yes</t>
        </is>
      </c>
      <c r="M114" s="6" t="inlineStr">
        <is>
          <t>Yes</t>
        </is>
      </c>
      <c r="N114" s="6" t="inlineStr">
        <is>
          <t>Palette, alt text, width and image host checked (test:emailcatalogue, test:brand; ACCEPTANCE 51/51)</t>
        </is>
      </c>
      <c r="O114" s="6" t="inlineStr">
        <is>
          <t>Live, identical to template</t>
        </is>
      </c>
      <c r="P114" s="12" t="inlineStr">
        <is>
          <t>OK</t>
        </is>
      </c>
      <c r="Q114" s="6" t="n"/>
      <c r="R114" s="6" t="n"/>
      <c r="S114" s="8" t="n"/>
      <c r="T114" s="9" t="n"/>
      <c r="U114" s="8" t="n"/>
    </row>
    <row r="115">
      <c r="A115" s="6" t="inlineStr">
        <is>
          <t>TR-038</t>
        </is>
      </c>
      <c r="B115" s="6" t="inlineStr">
        <is>
          <t>Flow e-mail · catalogue</t>
        </is>
      </c>
      <c r="C115" s="6" t="inlineStr">
        <is>
          <t>Folio Workspace</t>
        </is>
      </c>
      <c r="D115" s="6" t="inlineStr">
        <is>
          <t>DYNAMIC_ACTIONS.server-error-alert — server-error-alert</t>
        </is>
      </c>
      <c r="E115" s="6" t="inlineStr">
        <is>
          <t>IP_Dynamic_Global_Actions_Endpoint</t>
        </is>
      </c>
      <c r="F115" s="6" t="inlineStr">
        <is>
          <t>31c0aaf0-ddbb-478c-9a98-bc013265c4c7</t>
        </is>
      </c>
      <c r="G115" s="6" t="inlineStr">
        <is>
          <t>Send_Server_Error_Alert_Email</t>
        </is>
      </c>
      <c r="H115" s="6" t="inlineStr">
        <is>
          <t>SN-007 (operator alert)</t>
        </is>
      </c>
      <c r="I115" s="6" t="n"/>
      <c r="J115" s="6" t="inlineStr">
        <is>
          <t>@outputs('Compose_Notify_Config')?['opsTo']</t>
        </is>
      </c>
      <c r="K115" s="6" t="inlineStr">
        <is>
          <t>email-catalogue/shared/server-error-alert-email.html</t>
        </is>
      </c>
      <c r="L115" s="6" t="inlineStr">
        <is>
          <t>Yes</t>
        </is>
      </c>
      <c r="M115" s="6" t="inlineStr">
        <is>
          <t>Yes</t>
        </is>
      </c>
      <c r="N115" s="6" t="inlineStr">
        <is>
          <t>Palette, alt text, width and image host checked (test:emailcatalogue, test:brand; ACCEPTANCE 51/51)</t>
        </is>
      </c>
      <c r="O115" s="6" t="inlineStr">
        <is>
          <t>Live, identical to template</t>
        </is>
      </c>
      <c r="P115" s="12" t="inlineStr">
        <is>
          <t>OK</t>
        </is>
      </c>
      <c r="Q115" s="6" t="n"/>
      <c r="R115" s="6" t="n"/>
      <c r="S115" s="8" t="n"/>
      <c r="T115" s="9" t="n"/>
      <c r="U115" s="8" t="n"/>
    </row>
    <row r="116">
      <c r="A116" s="6" t="inlineStr">
        <is>
          <t>TR-042</t>
        </is>
      </c>
      <c r="B116" s="6" t="inlineStr">
        <is>
          <t>Flow e-mail · catalogue</t>
        </is>
      </c>
      <c r="C116" s="6" t="inlineStr">
        <is>
          <t>Flow estate (background)</t>
        </is>
      </c>
      <c r="D116" s="6" t="inlineStr">
        <is>
          <t>NOKEY.case — case</t>
        </is>
      </c>
      <c r="E116" s="6" t="inlineStr">
        <is>
          <t>AUTO_SCHEDULED_SWEEP</t>
        </is>
      </c>
      <c r="F116" s="6" t="inlineStr">
        <is>
          <t>8c19b45c-4174-4d2f-9429-ffd08dd1a5ae</t>
        </is>
      </c>
      <c r="G116" s="6" t="inlineStr">
        <is>
          <t>Send_Case_Email</t>
        </is>
      </c>
      <c r="H116" s="6" t="inlineStr">
        <is>
          <t>RN-008, RN-027</t>
        </is>
      </c>
      <c r="I116" s="6" t="n"/>
      <c r="J116" s="6" t="inlineStr">
        <is>
          <t>@if(equals(outputs('Compose_Notify_Config')?['staffRecipients'],true),toLower(trim(string(coalesce(items('Foreach_Closed_Case')?['Email'],'')))),outputs('Compos</t>
        </is>
      </c>
      <c r="K116" s="6" t="inlineStr">
        <is>
          <t>email-catalogue/NOKEY__AUTO_SCHEDULED_SWEEP__8c19b45c/Send_Case_Email.html</t>
        </is>
      </c>
      <c r="L116" s="6" t="inlineStr">
        <is>
          <t>Yes</t>
        </is>
      </c>
      <c r="M116" s="6" t="inlineStr">
        <is>
          <t>Yes</t>
        </is>
      </c>
      <c r="N116" s="6" t="inlineStr">
        <is>
          <t>Palette, alt text, width and image host checked (test:emailcatalogue, test:brand; ACCEPTANCE 51/51)</t>
        </is>
      </c>
      <c r="O116" s="6" t="inlineStr">
        <is>
          <t>Live, identical to template</t>
        </is>
      </c>
      <c r="P116" s="12" t="inlineStr">
        <is>
          <t>OK</t>
        </is>
      </c>
      <c r="Q116" s="6" t="n"/>
      <c r="R116" s="6" t="n"/>
      <c r="S116" s="8" t="n"/>
      <c r="T116" s="9" t="n"/>
      <c r="U116" s="8" t="n"/>
    </row>
    <row r="117">
      <c r="A117" s="6" t="inlineStr">
        <is>
          <t>TR-043</t>
        </is>
      </c>
      <c r="B117" s="6" t="inlineStr">
        <is>
          <t>Flow e-mail · catalogue</t>
        </is>
      </c>
      <c r="C117" s="6" t="inlineStr">
        <is>
          <t>Flow estate (background)</t>
        </is>
      </c>
      <c r="D117" s="6" t="inlineStr">
        <is>
          <t>NOKEY.undeliverable-alert — undeliverable-alert</t>
        </is>
      </c>
      <c r="E117" s="6" t="inlineStr">
        <is>
          <t>AUTO_SCHEDULED_SWEEP</t>
        </is>
      </c>
      <c r="F117" s="6" t="inlineStr">
        <is>
          <t>8c19b45c-4174-4d2f-9429-ffd08dd1a5ae</t>
        </is>
      </c>
      <c r="G117" s="6" t="inlineStr">
        <is>
          <t>Send_Undeliverable_Alert_Email</t>
        </is>
      </c>
      <c r="H117" s="6" t="inlineStr">
        <is>
          <t>RN-026</t>
        </is>
      </c>
      <c r="I117" s="6" t="n"/>
      <c r="J117" s="6" t="inlineStr">
        <is>
          <t>@outputs('Compose_Notify_Config')?['opsTo']</t>
        </is>
      </c>
      <c r="K117" s="6" t="inlineStr">
        <is>
          <t>email-catalogue/NOKEY__AUTO_SCHEDULED_SWEEP__8c19b45c/Send_Undeliverable_Alert_Email.html</t>
        </is>
      </c>
      <c r="L117" s="6" t="inlineStr">
        <is>
          <t>Yes</t>
        </is>
      </c>
      <c r="M117" s="6" t="inlineStr">
        <is>
          <t>Yes</t>
        </is>
      </c>
      <c r="N117" s="6" t="inlineStr">
        <is>
          <t>Palette, alt text, width and image host checked (test:emailcatalogue, test:brand; ACCEPTANCE 51/51)</t>
        </is>
      </c>
      <c r="O117" s="6" t="inlineStr">
        <is>
          <t>Live, identical to template</t>
        </is>
      </c>
      <c r="P117" s="12" t="inlineStr">
        <is>
          <t>OK</t>
        </is>
      </c>
      <c r="Q117" s="6" t="n"/>
      <c r="R117" s="6" t="n"/>
      <c r="S117" s="8" t="n"/>
      <c r="T117" s="9" t="n"/>
      <c r="U117" s="8" t="n"/>
    </row>
    <row r="118">
      <c r="A118" s="6" t="inlineStr">
        <is>
          <t>TR-046</t>
        </is>
      </c>
      <c r="B118" s="6" t="inlineStr">
        <is>
          <t>Flow e-mail · catalogue</t>
        </is>
      </c>
      <c r="C118" s="6" t="inlineStr">
        <is>
          <t>Flow estate (background)</t>
        </is>
      </c>
      <c r="D118" s="6" t="inlineStr">
        <is>
          <t>NOKEY.server-error-alert — server-error-alert</t>
        </is>
      </c>
      <c r="E118" s="6" t="inlineStr">
        <is>
          <t>AUTO_SCHEDULED_SWEEP</t>
        </is>
      </c>
      <c r="F118" s="6" t="inlineStr">
        <is>
          <t>8c19b45c-4174-4d2f-9429-ffd08dd1a5ae</t>
        </is>
      </c>
      <c r="G118" s="6" t="inlineStr">
        <is>
          <t>Send_Server_Error_Alert_Email</t>
        </is>
      </c>
      <c r="H118" s="6" t="inlineStr">
        <is>
          <t>SN-007 (operator alert)</t>
        </is>
      </c>
      <c r="I118" s="6" t="n"/>
      <c r="J118" s="6" t="inlineStr">
        <is>
          <t>@outputs('Compose_Notify_Config_C5')?['opsTo']</t>
        </is>
      </c>
      <c r="K118" s="6" t="inlineStr">
        <is>
          <t>email-catalogue/NOKEY__AUTO_SCHEDULED_SWEEP__8c19b45c/Send_Server_Error_Alert_Email.html</t>
        </is>
      </c>
      <c r="L118" s="6" t="inlineStr">
        <is>
          <t>Yes</t>
        </is>
      </c>
      <c r="M118" s="6" t="inlineStr">
        <is>
          <t>Yes</t>
        </is>
      </c>
      <c r="N118" s="6" t="inlineStr">
        <is>
          <t>Palette, alt text, width and image host checked (test:emailcatalogue, test:brand; ACCEPTANCE 51/51)</t>
        </is>
      </c>
      <c r="O118" s="6" t="inlineStr">
        <is>
          <t>Live, identical to template</t>
        </is>
      </c>
      <c r="P118" s="12" t="inlineStr">
        <is>
          <t>OK</t>
        </is>
      </c>
      <c r="Q118" s="6" t="n"/>
      <c r="R118" s="6" t="n"/>
      <c r="S118" s="8" t="n"/>
      <c r="T118" s="9" t="n"/>
      <c r="U118" s="8" t="n"/>
    </row>
    <row r="119">
      <c r="A119" s="6" t="inlineStr">
        <is>
          <t>TR-047</t>
        </is>
      </c>
      <c r="B119" s="6" t="inlineStr">
        <is>
          <t>Flow e-mail · catalogue</t>
        </is>
      </c>
      <c r="C119" s="6" t="inlineStr">
        <is>
          <t>Flow estate (background)</t>
        </is>
      </c>
      <c r="D119" s="6" t="inlineStr">
        <is>
          <t>NOKEY.failure-watch — failure-watch</t>
        </is>
      </c>
      <c r="E119" s="6" t="inlineStr">
        <is>
          <t>Folio_Failure_Watch</t>
        </is>
      </c>
      <c r="F119" s="6" t="inlineStr">
        <is>
          <t>c38bfeaa-4c88-47a5-a9e2-f5d0e610efb6</t>
        </is>
      </c>
      <c r="G119" s="6" t="inlineStr">
        <is>
          <t>Send_Failure_Watch_Email</t>
        </is>
      </c>
      <c r="H119" s="6" t="inlineStr">
        <is>
          <t>RN-026</t>
        </is>
      </c>
      <c r="I119" s="6" t="n"/>
      <c r="J119" s="6" t="inlineStr">
        <is>
          <t>@outputs('Compose_Watch_Config')?['to']</t>
        </is>
      </c>
      <c r="K119" s="6" t="inlineStr">
        <is>
          <t>email-catalogue/NOKEY__Folio_Failure_Watch__c38bfeaa/Send_Failure_Watch_Email.html</t>
        </is>
      </c>
      <c r="L119" s="6" t="inlineStr">
        <is>
          <t>Yes</t>
        </is>
      </c>
      <c r="M119" s="6" t="inlineStr">
        <is>
          <t>Automated checks only (added after the review)</t>
        </is>
      </c>
      <c r="N119" s="6" t="inlineStr">
        <is>
          <t>Palette, alt text, width and image host checked (test:emailcatalogue, test:brand; ACCEPTANCE 51/51)</t>
        </is>
      </c>
      <c r="O119" s="6" t="inlineStr">
        <is>
          <t>Live, identical to template</t>
        </is>
      </c>
      <c r="P119" s="12" t="inlineStr">
        <is>
          <t>OK</t>
        </is>
      </c>
      <c r="Q119" s="6" t="n"/>
      <c r="R119" s="6" t="n"/>
      <c r="S119" s="8" t="n"/>
      <c r="T119" s="9" t="n"/>
      <c r="U119" s="8" t="n"/>
    </row>
    <row r="120">
      <c r="A120" s="6" t="inlineStr">
        <is>
          <t>TR-051</t>
        </is>
      </c>
      <c r="B120" s="6" t="inlineStr">
        <is>
          <t>Flow e-mail · catalogue</t>
        </is>
      </c>
      <c r="C120" s="6" t="inlineStr">
        <is>
          <t>Folio Workspace</t>
        </is>
      </c>
      <c r="D120" s="6" t="inlineStr">
        <is>
          <t>USER_ADMIN.server-error-alert — server-error-alert</t>
        </is>
      </c>
      <c r="E120" s="6" t="inlineStr">
        <is>
          <t>IP_User_Admin_Endpoint</t>
        </is>
      </c>
      <c r="F120" s="6" t="inlineStr">
        <is>
          <t>e3e5c825-55ba-447e-88c1-96b7e89fd013</t>
        </is>
      </c>
      <c r="G120" s="6" t="inlineStr">
        <is>
          <t>Send_Server_Error_Alert_Email</t>
        </is>
      </c>
      <c r="H120" s="6" t="inlineStr">
        <is>
          <t>SN-007 (operator alert)</t>
        </is>
      </c>
      <c r="I120" s="6" t="n"/>
      <c r="J120" s="6" t="inlineStr">
        <is>
          <t>@outputs('Compose_Notify_Config')?['opsTo']</t>
        </is>
      </c>
      <c r="K120" s="6" t="inlineStr">
        <is>
          <t>email-catalogue/shared/server-error-alert-email.html</t>
        </is>
      </c>
      <c r="L120" s="6" t="inlineStr">
        <is>
          <t>Yes</t>
        </is>
      </c>
      <c r="M120" s="6" t="inlineStr">
        <is>
          <t>Yes</t>
        </is>
      </c>
      <c r="N120" s="6" t="inlineStr">
        <is>
          <t>Palette, alt text, width and image host checked (test:emailcatalogue, test:brand; ACCEPTANCE 51/51)</t>
        </is>
      </c>
      <c r="O120" s="6" t="inlineStr">
        <is>
          <t>Live, identical to template</t>
        </is>
      </c>
      <c r="P120" s="12" t="inlineStr">
        <is>
          <t>OK</t>
        </is>
      </c>
      <c r="Q120" s="6" t="n"/>
      <c r="R120" s="6" t="n"/>
      <c r="S120" s="8" t="n"/>
      <c r="T120" s="9" t="n"/>
      <c r="U120" s="8" t="n"/>
    </row>
    <row r="121">
      <c r="A121" s="6" t="inlineStr">
        <is>
          <t>TR-259</t>
        </is>
      </c>
      <c r="B121" s="6" t="inlineStr">
        <is>
          <t>Flow · sends no e-mail</t>
        </is>
      </c>
      <c r="C121" s="6" t="inlineStr">
        <is>
          <t>Folio Workspace</t>
        </is>
      </c>
      <c r="D121" s="6" t="inlineStr">
        <is>
          <t>No e-mail send</t>
        </is>
      </c>
      <c r="E121" s="6" t="inlineStr">
        <is>
          <t>IP_FETCH_ALL_BOOTSTRAP</t>
        </is>
      </c>
      <c r="F121" s="6" t="inlineStr">
        <is>
          <t>b79e6707-df4d-4ae7-8a65-738aa45e9a73</t>
        </is>
      </c>
      <c r="G121" s="6" t="inlineStr">
        <is>
          <t>Workspace bootstrap</t>
        </is>
      </c>
      <c r="H121" s="6" t="inlineStr">
        <is>
          <t>FETCH_ALL</t>
        </is>
      </c>
      <c r="I121" s="6" t="n"/>
      <c r="J121" s="6" t="n"/>
      <c r="K121" s="6" t="inlineStr">
        <is>
          <t>none</t>
        </is>
      </c>
      <c r="L121" s="6" t="inlineStr">
        <is>
          <t>n/a</t>
        </is>
      </c>
      <c r="M121" s="6" t="n"/>
      <c r="N121" s="6" t="n"/>
      <c r="O121" s="6" t="inlineStr">
        <is>
          <t>Live (Started), 0 send actions</t>
        </is>
      </c>
      <c r="P121" s="12" t="inlineStr">
        <is>
          <t>OK</t>
        </is>
      </c>
      <c r="Q121" s="6" t="inlineStr">
        <is>
          <t>Read live: the definition holds no e-mail action.</t>
        </is>
      </c>
      <c r="R121" s="6" t="n"/>
      <c r="S121" s="8" t="n"/>
      <c r="T121" s="9" t="n"/>
      <c r="U121" s="8" t="n"/>
    </row>
    <row r="122">
      <c r="A122" s="6" t="inlineStr">
        <is>
          <t>TR-260</t>
        </is>
      </c>
      <c r="B122" s="6" t="inlineStr">
        <is>
          <t>Flow · sends no e-mail</t>
        </is>
      </c>
      <c r="C122" s="6" t="inlineStr">
        <is>
          <t>Folio Workspace</t>
        </is>
      </c>
      <c r="D122" s="6" t="inlineStr">
        <is>
          <t>No e-mail send</t>
        </is>
      </c>
      <c r="E122" s="6" t="inlineStr">
        <is>
          <t>IP_Get_Docs_Endpoint</t>
        </is>
      </c>
      <c r="F122" s="6" t="inlineStr">
        <is>
          <t>28f6e62a-fea8-437c-a61a-47aec706c4e2</t>
        </is>
      </c>
      <c r="G122" s="6" t="inlineStr">
        <is>
          <t>Documents and activities</t>
        </is>
      </c>
      <c r="H122" s="6" t="inlineStr">
        <is>
          <t>GET_DOCS, FETCH_ACTIVITIES</t>
        </is>
      </c>
      <c r="I122" s="6" t="n"/>
      <c r="J122" s="6" t="n"/>
      <c r="K122" s="6" t="inlineStr">
        <is>
          <t>none</t>
        </is>
      </c>
      <c r="L122" s="6" t="inlineStr">
        <is>
          <t>n/a</t>
        </is>
      </c>
      <c r="M122" s="6" t="n"/>
      <c r="N122" s="6" t="n"/>
      <c r="O122" s="6" t="inlineStr">
        <is>
          <t>Live (Started), 0 send actions</t>
        </is>
      </c>
      <c r="P122" s="12" t="inlineStr">
        <is>
          <t>OK</t>
        </is>
      </c>
      <c r="Q122" s="6" t="inlineStr">
        <is>
          <t>Read live: the definition holds no e-mail action.</t>
        </is>
      </c>
      <c r="R122" s="6" t="n"/>
      <c r="S122" s="8" t="n"/>
      <c r="T122" s="9" t="n"/>
      <c r="U122" s="8" t="n"/>
    </row>
    <row r="123">
      <c r="A123" s="6" t="inlineStr">
        <is>
          <t>TR-261</t>
        </is>
      </c>
      <c r="B123" s="6" t="inlineStr">
        <is>
          <t>Flow · sends no e-mail</t>
        </is>
      </c>
      <c r="C123" s="6" t="inlineStr">
        <is>
          <t>Folio Workspace</t>
        </is>
      </c>
      <c r="D123" s="6" t="inlineStr">
        <is>
          <t>No e-mail send</t>
        </is>
      </c>
      <c r="E123" s="6" t="inlineStr">
        <is>
          <t>IP_Reference_Data_Endpoint</t>
        </is>
      </c>
      <c r="F123" s="6" t="inlineStr">
        <is>
          <t>9a4dea8e-15f2-42b6-904d-3655056fa3c2</t>
        </is>
      </c>
      <c r="G123" s="6" t="inlineStr">
        <is>
          <t>Reference data</t>
        </is>
      </c>
      <c r="H123" s="6" t="inlineStr">
        <is>
          <t>REFERENCE_DATA</t>
        </is>
      </c>
      <c r="I123" s="6" t="n"/>
      <c r="J123" s="6" t="n"/>
      <c r="K123" s="6" t="inlineStr">
        <is>
          <t>none</t>
        </is>
      </c>
      <c r="L123" s="6" t="inlineStr">
        <is>
          <t>n/a</t>
        </is>
      </c>
      <c r="M123" s="6" t="n"/>
      <c r="N123" s="6" t="n"/>
      <c r="O123" s="6" t="inlineStr">
        <is>
          <t>Live (Started), 0 send actions</t>
        </is>
      </c>
      <c r="P123" s="12" t="inlineStr">
        <is>
          <t>OK</t>
        </is>
      </c>
      <c r="Q123" s="6" t="inlineStr">
        <is>
          <t>Read live: the definition holds no e-mail action.</t>
        </is>
      </c>
      <c r="R123" s="6" t="n"/>
      <c r="S123" s="8" t="n"/>
      <c r="T123" s="9" t="n"/>
      <c r="U123" s="8" t="n"/>
    </row>
    <row r="124">
      <c r="A124" s="6" t="inlineStr">
        <is>
          <t>TR-262</t>
        </is>
      </c>
      <c r="B124" s="6" t="inlineStr">
        <is>
          <t>Flow · sends no e-mail</t>
        </is>
      </c>
      <c r="C124" s="6" t="inlineStr">
        <is>
          <t>Folio Workspace</t>
        </is>
      </c>
      <c r="D124" s="6" t="inlineStr">
        <is>
          <t>No e-mail send</t>
        </is>
      </c>
      <c r="E124" s="6" t="inlineStr">
        <is>
          <t>IP_Retrieve_Email_Attachment_Endpoint</t>
        </is>
      </c>
      <c r="F124" s="6" t="inlineStr">
        <is>
          <t>5bc87cf3-7a99-4259-b6a2-315fbc794d9b</t>
        </is>
      </c>
      <c r="G124" s="6" t="inlineStr">
        <is>
          <t>E-mail attachments</t>
        </is>
      </c>
      <c r="H124" s="6" t="inlineStr">
        <is>
          <t>FETCH_EMAIL_ATTACHMENTS</t>
        </is>
      </c>
      <c r="I124" s="6" t="n"/>
      <c r="J124" s="6" t="n"/>
      <c r="K124" s="6" t="inlineStr">
        <is>
          <t>none</t>
        </is>
      </c>
      <c r="L124" s="6" t="inlineStr">
        <is>
          <t>n/a</t>
        </is>
      </c>
      <c r="M124" s="6" t="n"/>
      <c r="N124" s="6" t="n"/>
      <c r="O124" s="6" t="inlineStr">
        <is>
          <t>Live (Started), 0 send actions</t>
        </is>
      </c>
      <c r="P124" s="12" t="inlineStr">
        <is>
          <t>OK</t>
        </is>
      </c>
      <c r="Q124" s="6" t="inlineStr">
        <is>
          <t>Read live: the definition holds no e-mail action.</t>
        </is>
      </c>
      <c r="R124" s="6" t="n"/>
      <c r="S124" s="8" t="n"/>
      <c r="T124" s="9" t="n"/>
      <c r="U124" s="8" t="n"/>
    </row>
    <row r="125">
      <c r="A125" s="6" t="inlineStr">
        <is>
          <t>TR-263</t>
        </is>
      </c>
      <c r="B125" s="6" t="inlineStr">
        <is>
          <t>Flow · sends no e-mail</t>
        </is>
      </c>
      <c r="C125" s="6" t="inlineStr">
        <is>
          <t>Folio Workspace</t>
        </is>
      </c>
      <c r="D125" s="6" t="inlineStr">
        <is>
          <t>No e-mail send</t>
        </is>
      </c>
      <c r="E125" s="6" t="inlineStr">
        <is>
          <t>AI_Document_Processing</t>
        </is>
      </c>
      <c r="F125" s="6" t="inlineStr">
        <is>
          <t>fefa43c6-fb9d-4337-8b65-7fd19fa09b6d</t>
        </is>
      </c>
      <c r="G125" s="6" t="inlineStr">
        <is>
          <t>AI document, e-mail and chat</t>
        </is>
      </c>
      <c r="H125" s="6" t="inlineStr">
        <is>
          <t>AI_CHAT, AI_DOC_ANALYSIS, AI_EMAIL_ANALYSIS</t>
        </is>
      </c>
      <c r="I125" s="6" t="n"/>
      <c r="J125" s="6" t="n"/>
      <c r="K125" s="6" t="inlineStr">
        <is>
          <t>none</t>
        </is>
      </c>
      <c r="L125" s="6" t="inlineStr">
        <is>
          <t>n/a</t>
        </is>
      </c>
      <c r="M125" s="6" t="n"/>
      <c r="N125" s="6" t="n"/>
      <c r="O125" s="6" t="inlineStr">
        <is>
          <t>Live (Started), 0 send actions</t>
        </is>
      </c>
      <c r="P125" s="12" t="inlineStr">
        <is>
          <t>OK</t>
        </is>
      </c>
      <c r="Q125" s="6" t="inlineStr">
        <is>
          <t>Read live: the definition holds no e-mail action.</t>
        </is>
      </c>
      <c r="R125" s="6" t="n"/>
      <c r="S125" s="8" t="n"/>
      <c r="T125" s="9" t="n"/>
      <c r="U125" s="8" t="n"/>
    </row>
    <row r="126">
      <c r="A126" s="6" t="inlineStr">
        <is>
          <t>TR-264</t>
        </is>
      </c>
      <c r="B126" s="6" t="inlineStr">
        <is>
          <t>Flow · sends no e-mail</t>
        </is>
      </c>
      <c r="C126" s="6" t="inlineStr">
        <is>
          <t>Folio Workspace</t>
        </is>
      </c>
      <c r="D126" s="6" t="inlineStr">
        <is>
          <t>No e-mail send</t>
        </is>
      </c>
      <c r="E126" s="6" t="inlineStr">
        <is>
          <t>IP_OTP_VERIFY</t>
        </is>
      </c>
      <c r="F126" s="6" t="inlineStr">
        <is>
          <t>4dbe6dde-37d5-47b4-ba32-d4ae5c9f8b61</t>
        </is>
      </c>
      <c r="G126" s="6" t="inlineStr">
        <is>
          <t>One-time code verification</t>
        </is>
      </c>
      <c r="H126" s="6" t="inlineStr">
        <is>
          <t>OTP_VERIFY</t>
        </is>
      </c>
      <c r="I126" s="6" t="n"/>
      <c r="J126" s="6" t="n"/>
      <c r="K126" s="6" t="inlineStr">
        <is>
          <t>none</t>
        </is>
      </c>
      <c r="L126" s="6" t="inlineStr">
        <is>
          <t>n/a</t>
        </is>
      </c>
      <c r="M126" s="6" t="n"/>
      <c r="N126" s="6" t="n"/>
      <c r="O126" s="6" t="inlineStr">
        <is>
          <t>Live (Started), 0 send actions</t>
        </is>
      </c>
      <c r="P126" s="12" t="inlineStr">
        <is>
          <t>OK</t>
        </is>
      </c>
      <c r="Q126" s="6" t="inlineStr">
        <is>
          <t>Read live: the definition holds no e-mail action.</t>
        </is>
      </c>
      <c r="R126" s="6" t="n"/>
      <c r="S126" s="8" t="n"/>
      <c r="T126" s="9" t="n"/>
      <c r="U126" s="8" t="n"/>
    </row>
    <row r="127">
      <c r="A127" s="6" t="inlineStr">
        <is>
          <t>TR-265</t>
        </is>
      </c>
      <c r="B127" s="6" t="inlineStr">
        <is>
          <t>Flow · sends no e-mail</t>
        </is>
      </c>
      <c r="C127" s="6" t="inlineStr">
        <is>
          <t>Correspondence Mailer</t>
        </is>
      </c>
      <c r="D127" s="6" t="inlineStr">
        <is>
          <t>No e-mail send</t>
        </is>
      </c>
      <c r="E127" s="6" t="inlineStr">
        <is>
          <t>DGO_MAIL_DATA</t>
        </is>
      </c>
      <c r="F127" s="6" t="inlineStr">
        <is>
          <t>d44a67e3-c55a-415a-afe9-ef50a4702117</t>
        </is>
      </c>
      <c r="G127" s="6" t="inlineStr">
        <is>
          <t>Correspondence Mailer</t>
        </is>
      </c>
      <c r="H127" s="6" t="inlineStr">
        <is>
          <t>—</t>
        </is>
      </c>
      <c r="I127" s="6" t="n"/>
      <c r="J127" s="6" t="n"/>
      <c r="K127" s="6" t="inlineStr">
        <is>
          <t>none</t>
        </is>
      </c>
      <c r="L127" s="6" t="inlineStr">
        <is>
          <t>n/a</t>
        </is>
      </c>
      <c r="M127" s="6" t="n"/>
      <c r="N127" s="6" t="n"/>
      <c r="O127" s="6" t="inlineStr">
        <is>
          <t>Live (Started), 0 send actions</t>
        </is>
      </c>
      <c r="P127" s="12" t="inlineStr">
        <is>
          <t>OK</t>
        </is>
      </c>
      <c r="Q127" s="6" t="inlineStr">
        <is>
          <t>Read live: the definition holds no e-mail action.</t>
        </is>
      </c>
      <c r="R127" s="6" t="n"/>
      <c r="S127" s="8" t="n"/>
      <c r="T127" s="9" t="n"/>
      <c r="U127" s="8" t="n"/>
    </row>
    <row r="128">
      <c r="A128" s="6" t="inlineStr">
        <is>
          <t>TR-266</t>
        </is>
      </c>
      <c r="B128" s="6" t="inlineStr">
        <is>
          <t>Flow · sends no e-mail</t>
        </is>
      </c>
      <c r="C128" s="6" t="inlineStr">
        <is>
          <t>Correspondence Mailer</t>
        </is>
      </c>
      <c r="D128" s="6" t="inlineStr">
        <is>
          <t>No e-mail send</t>
        </is>
      </c>
      <c r="E128" s="6" t="inlineStr">
        <is>
          <t>DGO_MAIL_DIRECTORY</t>
        </is>
      </c>
      <c r="F128" s="6" t="inlineStr">
        <is>
          <t>0cb4c4a8-578a-4017-90dc-b8f2ffb21cb8</t>
        </is>
      </c>
      <c r="G128" s="6" t="inlineStr">
        <is>
          <t>Correspondence Mailer</t>
        </is>
      </c>
      <c r="H128" s="6" t="inlineStr">
        <is>
          <t>—</t>
        </is>
      </c>
      <c r="I128" s="6" t="n"/>
      <c r="J128" s="6" t="n"/>
      <c r="K128" s="6" t="inlineStr">
        <is>
          <t>none</t>
        </is>
      </c>
      <c r="L128" s="6" t="inlineStr">
        <is>
          <t>n/a</t>
        </is>
      </c>
      <c r="M128" s="6" t="n"/>
      <c r="N128" s="6" t="n"/>
      <c r="O128" s="6" t="inlineStr">
        <is>
          <t>Live (Started), 0 send actions</t>
        </is>
      </c>
      <c r="P128" s="12" t="inlineStr">
        <is>
          <t>OK</t>
        </is>
      </c>
      <c r="Q128" s="6" t="inlineStr">
        <is>
          <t>Read live: the definition holds no e-mail action.</t>
        </is>
      </c>
      <c r="R128" s="6" t="n"/>
      <c r="S128" s="8" t="n"/>
      <c r="T128" s="9" t="n"/>
      <c r="U128" s="8" t="n"/>
    </row>
    <row r="129">
      <c r="A129" s="6" t="inlineStr">
        <is>
          <t>TR-267</t>
        </is>
      </c>
      <c r="B129" s="6" t="inlineStr">
        <is>
          <t>Flow · sends no e-mail</t>
        </is>
      </c>
      <c r="C129" s="6" t="inlineStr">
        <is>
          <t>Correspondence Mailer</t>
        </is>
      </c>
      <c r="D129" s="6" t="inlineStr">
        <is>
          <t>No e-mail send</t>
        </is>
      </c>
      <c r="E129" s="6" t="inlineStr">
        <is>
          <t>DGO_MAIL_LOG</t>
        </is>
      </c>
      <c r="F129" s="6" t="inlineStr">
        <is>
          <t>98ce8b40-d386-4ec5-a277-1a35688fef4f</t>
        </is>
      </c>
      <c r="G129" s="6" t="inlineStr">
        <is>
          <t>Correspondence Mailer</t>
        </is>
      </c>
      <c r="H129" s="6" t="inlineStr">
        <is>
          <t>—</t>
        </is>
      </c>
      <c r="I129" s="6" t="n"/>
      <c r="J129" s="6" t="n"/>
      <c r="K129" s="6" t="inlineStr">
        <is>
          <t>none</t>
        </is>
      </c>
      <c r="L129" s="6" t="inlineStr">
        <is>
          <t>n/a</t>
        </is>
      </c>
      <c r="M129" s="6" t="n"/>
      <c r="N129" s="6" t="n"/>
      <c r="O129" s="6" t="inlineStr">
        <is>
          <t>Live (Started), 0 send actions</t>
        </is>
      </c>
      <c r="P129" s="12" t="inlineStr">
        <is>
          <t>OK</t>
        </is>
      </c>
      <c r="Q129" s="6" t="inlineStr">
        <is>
          <t>Read live: the definition holds no e-mail action.</t>
        </is>
      </c>
      <c r="R129" s="6" t="n"/>
      <c r="S129" s="8" t="n"/>
      <c r="T129" s="9" t="n"/>
      <c r="U129" s="8" t="n"/>
    </row>
    <row r="130">
      <c r="A130" s="6" t="inlineStr">
        <is>
          <t>TR-268</t>
        </is>
      </c>
      <c r="B130" s="6" t="inlineStr">
        <is>
          <t>Flow · sends no e-mail</t>
        </is>
      </c>
      <c r="C130" s="6" t="inlineStr">
        <is>
          <t>Correspondence Mailer</t>
        </is>
      </c>
      <c r="D130" s="6" t="inlineStr">
        <is>
          <t>No e-mail send</t>
        </is>
      </c>
      <c r="E130" s="6" t="inlineStr">
        <is>
          <t>DGO_MAIL_PROVISION</t>
        </is>
      </c>
      <c r="F130" s="6" t="inlineStr">
        <is>
          <t>c5a0f936-40a5-4044-a383-2530468f8413</t>
        </is>
      </c>
      <c r="G130" s="6" t="inlineStr">
        <is>
          <t>Correspondence Mailer</t>
        </is>
      </c>
      <c r="H130" s="6" t="inlineStr">
        <is>
          <t>—</t>
        </is>
      </c>
      <c r="I130" s="6" t="n"/>
      <c r="J130" s="6" t="n"/>
      <c r="K130" s="6" t="inlineStr">
        <is>
          <t>none</t>
        </is>
      </c>
      <c r="L130" s="6" t="inlineStr">
        <is>
          <t>n/a</t>
        </is>
      </c>
      <c r="M130" s="6" t="n"/>
      <c r="N130" s="6" t="n"/>
      <c r="O130" s="6" t="inlineStr">
        <is>
          <t>Live (Started), 0 send actions</t>
        </is>
      </c>
      <c r="P130" s="12" t="inlineStr">
        <is>
          <t>OK</t>
        </is>
      </c>
      <c r="Q130" s="6" t="inlineStr">
        <is>
          <t>Read live: the definition holds no e-mail action.</t>
        </is>
      </c>
      <c r="R130" s="6" t="n"/>
      <c r="S130" s="8" t="n"/>
      <c r="T130" s="9" t="n"/>
      <c r="U130" s="8" t="n"/>
    </row>
    <row r="131">
      <c r="A131" s="6" t="inlineStr">
        <is>
          <t>TR-101</t>
        </is>
      </c>
      <c r="B131" s="6" t="inlineStr">
        <is>
          <t>In-app notice</t>
        </is>
      </c>
      <c r="C131" s="6" t="inlineStr">
        <is>
          <t>Folio Workspace</t>
        </is>
      </c>
      <c r="D131" s="6" t="inlineStr">
        <is>
          <t>A dispatch fails</t>
        </is>
      </c>
      <c r="E131" s="6" t="inlineStr">
        <is>
          <t>core/action-authority.js failure toast and core/notification-center.js</t>
        </is>
      </c>
      <c r="F131" s="6" t="n"/>
      <c r="G131" s="6" t="n"/>
      <c r="H131" s="6" t="inlineStr">
        <is>
          <t>RN-023</t>
        </is>
      </c>
      <c r="I131" s="6" t="inlineStr">
        <is>
          <t>originator</t>
        </is>
      </c>
      <c r="J131" s="6" t="n"/>
      <c r="K131" s="6" t="inlineStr">
        <is>
          <t>strings in core/notification-center.js and call sites</t>
        </is>
      </c>
      <c r="L131" s="6" t="inlineStr">
        <is>
          <t>n/a (not e-mail)</t>
        </is>
      </c>
      <c r="M131" s="6" t="inlineStr">
        <is>
          <t>n/a</t>
        </is>
      </c>
      <c r="N131" s="6" t="n"/>
      <c r="O131" s="6" t="inlineStr">
        <is>
          <t>Client code</t>
        </is>
      </c>
      <c r="P131" s="12" t="inlineStr">
        <is>
          <t>OK</t>
        </is>
      </c>
      <c r="Q131" s="6" t="inlineStr">
        <is>
          <t>Message text lives in code, not in a template register.</t>
        </is>
      </c>
      <c r="R131" s="6" t="inlineStr">
        <is>
          <t>None required; listed for completeness.</t>
        </is>
      </c>
      <c r="S131" s="8" t="n"/>
      <c r="T131" s="9" t="n"/>
      <c r="U131" s="8" t="n"/>
    </row>
    <row r="132">
      <c r="A132" s="6" t="inlineStr">
        <is>
          <t>TR-102</t>
        </is>
      </c>
      <c r="B132" s="6" t="inlineStr">
        <is>
          <t>In-app notice</t>
        </is>
      </c>
      <c r="C132" s="6" t="inlineStr">
        <is>
          <t>Folio Workspace</t>
        </is>
      </c>
      <c r="D132" s="6" t="inlineStr">
        <is>
          <t>A governed action fails</t>
        </is>
      </c>
      <c r="E132" s="6" t="inlineStr">
        <is>
          <t>core/action-authority.js and core/notification-center.js</t>
        </is>
      </c>
      <c r="F132" s="6" t="n"/>
      <c r="G132" s="6" t="n"/>
      <c r="H132" s="6" t="inlineStr">
        <is>
          <t>RN-030</t>
        </is>
      </c>
      <c r="I132" s="6" t="inlineStr">
        <is>
          <t>operator</t>
        </is>
      </c>
      <c r="J132" s="6" t="n"/>
      <c r="K132" s="6" t="inlineStr">
        <is>
          <t>strings in core/notification-center.js and call sites</t>
        </is>
      </c>
      <c r="L132" s="6" t="inlineStr">
        <is>
          <t>n/a (not e-mail)</t>
        </is>
      </c>
      <c r="M132" s="6" t="inlineStr">
        <is>
          <t>n/a</t>
        </is>
      </c>
      <c r="N132" s="6" t="n"/>
      <c r="O132" s="6" t="inlineStr">
        <is>
          <t>Client code</t>
        </is>
      </c>
      <c r="P132" s="12" t="inlineStr">
        <is>
          <t>OK</t>
        </is>
      </c>
      <c r="Q132" s="6" t="inlineStr">
        <is>
          <t>Message text lives in code, not in a template register.</t>
        </is>
      </c>
      <c r="R132" s="6" t="inlineStr">
        <is>
          <t>None required; listed for completeness.</t>
        </is>
      </c>
      <c r="S132" s="8" t="n"/>
      <c r="T132" s="9" t="n"/>
      <c r="U132" s="8" t="n"/>
    </row>
    <row r="133">
      <c r="A133" s="6" t="inlineStr">
        <is>
          <t>TR-103</t>
        </is>
      </c>
      <c r="B133" s="6" t="inlineStr">
        <is>
          <t>In-app notice</t>
        </is>
      </c>
      <c r="C133" s="6" t="inlineStr">
        <is>
          <t>Folio Workspace</t>
        </is>
      </c>
      <c r="D133" s="6" t="inlineStr">
        <is>
          <t>An operator action succeeds and must remain findable afterwards</t>
        </is>
      </c>
      <c r="E133" s="6" t="inlineStr">
        <is>
          <t>core/notification-center.js</t>
        </is>
      </c>
      <c r="F133" s="6" t="n"/>
      <c r="G133" s="6" t="n"/>
      <c r="H133" s="6" t="inlineStr">
        <is>
          <t>RN-031</t>
        </is>
      </c>
      <c r="I133" s="6" t="inlineStr">
        <is>
          <t>operator</t>
        </is>
      </c>
      <c r="J133" s="6" t="n"/>
      <c r="K133" s="6" t="inlineStr">
        <is>
          <t>strings in core/notification-center.js and call sites</t>
        </is>
      </c>
      <c r="L133" s="6" t="inlineStr">
        <is>
          <t>n/a (not e-mail)</t>
        </is>
      </c>
      <c r="M133" s="6" t="inlineStr">
        <is>
          <t>n/a</t>
        </is>
      </c>
      <c r="N133" s="6" t="n"/>
      <c r="O133" s="6" t="inlineStr">
        <is>
          <t>Client code</t>
        </is>
      </c>
      <c r="P133" s="12" t="inlineStr">
        <is>
          <t>OK</t>
        </is>
      </c>
      <c r="Q133" s="6" t="inlineStr">
        <is>
          <t>Message text lives in code, not in a template register.</t>
        </is>
      </c>
      <c r="R133" s="6" t="inlineStr">
        <is>
          <t>None required; listed for completeness.</t>
        </is>
      </c>
      <c r="S133" s="8" t="n"/>
      <c r="T133" s="9" t="n"/>
      <c r="U133" s="8" t="n"/>
    </row>
    <row r="134">
      <c r="A134" s="6" t="inlineStr">
        <is>
          <t>TR-104</t>
        </is>
      </c>
      <c r="B134" s="6" t="inlineStr">
        <is>
          <t>In-app notice</t>
        </is>
      </c>
      <c r="C134" s="6" t="inlineStr">
        <is>
          <t>Folio Workspace</t>
        </is>
      </c>
      <c r="D134" s="6" t="inlineStr">
        <is>
          <t>A write cannot reach the registry and is held on the device</t>
        </is>
      </c>
      <c r="E134" s="6" t="inlineStr">
        <is>
          <t>core/pending-queue.js and the module toast at each call site</t>
        </is>
      </c>
      <c r="F134" s="6" t="n"/>
      <c r="G134" s="6" t="n"/>
      <c r="H134" s="6" t="inlineStr">
        <is>
          <t>RN-032</t>
        </is>
      </c>
      <c r="I134" s="6" t="inlineStr">
        <is>
          <t>operator</t>
        </is>
      </c>
      <c r="J134" s="6" t="n"/>
      <c r="K134" s="6" t="inlineStr">
        <is>
          <t>strings in core/notification-center.js and call sites</t>
        </is>
      </c>
      <c r="L134" s="6" t="inlineStr">
        <is>
          <t>n/a (not e-mail)</t>
        </is>
      </c>
      <c r="M134" s="6" t="inlineStr">
        <is>
          <t>n/a</t>
        </is>
      </c>
      <c r="N134" s="6" t="n"/>
      <c r="O134" s="6" t="inlineStr">
        <is>
          <t>Client code</t>
        </is>
      </c>
      <c r="P134" s="12" t="inlineStr">
        <is>
          <t>OK</t>
        </is>
      </c>
      <c r="Q134" s="6" t="inlineStr">
        <is>
          <t>Message text lives in code, not in a template register.</t>
        </is>
      </c>
      <c r="R134" s="6" t="inlineStr">
        <is>
          <t>None required; listed for completeness.</t>
        </is>
      </c>
      <c r="S134" s="8" t="n"/>
      <c r="T134" s="9" t="n"/>
      <c r="U134" s="8" t="n"/>
    </row>
    <row r="135">
      <c r="A135" s="6" t="inlineStr">
        <is>
          <t>TR-235</t>
        </is>
      </c>
      <c r="B135" s="6" t="inlineStr">
        <is>
          <t>Other template · Config template</t>
        </is>
      </c>
      <c r="C135" s="6" t="inlineStr">
        <is>
          <t>Repository</t>
        </is>
      </c>
      <c r="D135" s="6" t="inlineStr">
        <is>
          <t>Workspace config (config.local.js)</t>
        </is>
      </c>
      <c r="E135" s="6" t="n"/>
      <c r="F135" s="6" t="n"/>
      <c r="G135" s="6" t="n"/>
      <c r="H135" s="6" t="n"/>
      <c r="I135" s="6" t="n"/>
      <c r="J135" s="6" t="n"/>
      <c r="K135" s="6" t="inlineStr">
        <is>
          <t>config/config.example.js; built by scripts/package.mjs</t>
        </is>
      </c>
      <c r="L135" s="6" t="inlineStr">
        <is>
          <t>n/a</t>
        </is>
      </c>
      <c r="M135" s="6" t="n"/>
      <c r="N135" s="6" t="n"/>
      <c r="O135" s="6" t="n"/>
      <c r="P135" s="12" t="inlineStr">
        <is>
          <t>OK</t>
        </is>
      </c>
      <c r="Q135" s="6" t="inlineStr">
        <is>
          <t>Present; no gap found.</t>
        </is>
      </c>
      <c r="R135" s="6" t="n"/>
      <c r="S135" s="8" t="n"/>
      <c r="T135" s="9" t="n"/>
      <c r="U135" s="8" t="n"/>
    </row>
    <row r="136">
      <c r="A136" s="6" t="inlineStr">
        <is>
          <t>TR-236</t>
        </is>
      </c>
      <c r="B136" s="6" t="inlineStr">
        <is>
          <t>Other template · Config template</t>
        </is>
      </c>
      <c r="C136" s="6" t="inlineStr">
        <is>
          <t>Repository</t>
        </is>
      </c>
      <c r="D136" s="6" t="inlineStr">
        <is>
          <t>Portal config (config.local.js)</t>
        </is>
      </c>
      <c r="E136" s="6" t="n"/>
      <c r="F136" s="6" t="n"/>
      <c r="G136" s="6" t="n"/>
      <c r="H136" s="6" t="n"/>
      <c r="I136" s="6" t="n"/>
      <c r="J136" s="6" t="n"/>
      <c r="K136" s="6" t="inlineStr">
        <is>
          <t>document-portal/config.example.js; built by scripts/package.mjs</t>
        </is>
      </c>
      <c r="L136" s="6" t="inlineStr">
        <is>
          <t>n/a</t>
        </is>
      </c>
      <c r="M136" s="6" t="n"/>
      <c r="N136" s="6" t="n"/>
      <c r="O136" s="6" t="n"/>
      <c r="P136" s="12" t="inlineStr">
        <is>
          <t>OK</t>
        </is>
      </c>
      <c r="Q136" s="6" t="inlineStr">
        <is>
          <t>Present; no gap found.</t>
        </is>
      </c>
      <c r="R136" s="6" t="n"/>
      <c r="S136" s="8" t="n"/>
      <c r="T136" s="9" t="n"/>
      <c r="U136" s="8" t="n"/>
    </row>
    <row r="137">
      <c r="A137" s="6" t="inlineStr">
        <is>
          <t>TR-237</t>
        </is>
      </c>
      <c r="B137" s="6" t="inlineStr">
        <is>
          <t>Other template · Config template</t>
        </is>
      </c>
      <c r="C137" s="6" t="inlineStr">
        <is>
          <t>Repository</t>
        </is>
      </c>
      <c r="D137" s="6" t="inlineStr">
        <is>
          <t>Mailer config (config.local.js)</t>
        </is>
      </c>
      <c r="E137" s="6" t="n"/>
      <c r="F137" s="6" t="n"/>
      <c r="G137" s="6" t="n"/>
      <c r="H137" s="6" t="n"/>
      <c r="I137" s="6" t="n"/>
      <c r="J137" s="6" t="n"/>
      <c r="K137" s="6" t="inlineStr">
        <is>
          <t>mailer/config.local.example.js</t>
        </is>
      </c>
      <c r="L137" s="6" t="inlineStr">
        <is>
          <t>n/a</t>
        </is>
      </c>
      <c r="M137" s="6" t="n"/>
      <c r="N137" s="6" t="n"/>
      <c r="O137" s="6" t="n"/>
      <c r="P137" s="12" t="inlineStr">
        <is>
          <t>OK</t>
        </is>
      </c>
      <c r="Q137" s="6" t="inlineStr">
        <is>
          <t>Present; no gap found.</t>
        </is>
      </c>
      <c r="R137" s="6" t="n"/>
      <c r="S137" s="8" t="n"/>
      <c r="T137" s="9" t="n"/>
      <c r="U137" s="8" t="n"/>
    </row>
    <row r="138">
      <c r="A138" s="6" t="inlineStr">
        <is>
          <t>TR-238</t>
        </is>
      </c>
      <c r="B138" s="6" t="inlineStr">
        <is>
          <t>Other template · Config template</t>
        </is>
      </c>
      <c r="C138" s="6" t="inlineStr">
        <is>
          <t>Repository</t>
        </is>
      </c>
      <c r="D138" s="6" t="inlineStr">
        <is>
          <t>Values file (endpoint addresses)</t>
        </is>
      </c>
      <c r="E138" s="6" t="n"/>
      <c r="F138" s="6" t="n"/>
      <c r="G138" s="6" t="n"/>
      <c r="H138" s="6" t="n"/>
      <c r="I138" s="6" t="n"/>
      <c r="J138" s="6" t="n"/>
      <c r="K138" s="6" t="inlineStr">
        <is>
          <t>scripts/make-values-template.mjs; deployment/rotation/values.template.txt</t>
        </is>
      </c>
      <c r="L138" s="6" t="inlineStr">
        <is>
          <t>n/a</t>
        </is>
      </c>
      <c r="M138" s="6" t="n"/>
      <c r="N138" s="6" t="n"/>
      <c r="O138" s="6" t="n"/>
      <c r="P138" s="12" t="inlineStr">
        <is>
          <t>OK</t>
        </is>
      </c>
      <c r="Q138" s="6" t="inlineStr">
        <is>
          <t>Present; no gap found.</t>
        </is>
      </c>
      <c r="R138" s="6" t="n"/>
      <c r="S138" s="8" t="n"/>
      <c r="T138" s="9" t="n"/>
      <c r="U138" s="8" t="n"/>
    </row>
    <row r="139">
      <c r="A139" s="6" t="inlineStr">
        <is>
          <t>TR-239</t>
        </is>
      </c>
      <c r="B139" s="6" t="inlineStr">
        <is>
          <t>Other template · Config template</t>
        </is>
      </c>
      <c r="C139" s="6" t="inlineStr">
        <is>
          <t>Repository</t>
        </is>
      </c>
      <c r="D139" s="6" t="inlineStr">
        <is>
          <t>Admin Centre settings</t>
        </is>
      </c>
      <c r="E139" s="6" t="n"/>
      <c r="F139" s="6" t="n"/>
      <c r="G139" s="6" t="n"/>
      <c r="H139" s="6" t="n"/>
      <c r="I139" s="6" t="n"/>
      <c r="J139" s="6" t="n"/>
      <c r="K139" s="6" t="inlineStr">
        <is>
          <t>tools/admin-centre/config/settings.json</t>
        </is>
      </c>
      <c r="L139" s="6" t="inlineStr">
        <is>
          <t>n/a</t>
        </is>
      </c>
      <c r="M139" s="6" t="n"/>
      <c r="N139" s="6" t="n"/>
      <c r="O139" s="6" t="n"/>
      <c r="P139" s="12" t="inlineStr">
        <is>
          <t>OK</t>
        </is>
      </c>
      <c r="Q139" s="6" t="inlineStr">
        <is>
          <t>Present; no gap found.</t>
        </is>
      </c>
      <c r="R139" s="6" t="n"/>
      <c r="S139" s="8" t="n"/>
      <c r="T139" s="9" t="n"/>
      <c r="U139" s="8" t="n"/>
    </row>
    <row r="140">
      <c r="A140" s="6" t="inlineStr">
        <is>
          <t>TR-240</t>
        </is>
      </c>
      <c r="B140" s="6" t="inlineStr">
        <is>
          <t>Other template · Config template</t>
        </is>
      </c>
      <c r="C140" s="6" t="inlineStr">
        <is>
          <t>Repository</t>
        </is>
      </c>
      <c r="D140" s="6" t="inlineStr">
        <is>
          <t>Vault (Flow Capsule) settings</t>
        </is>
      </c>
      <c r="E140" s="6" t="n"/>
      <c r="F140" s="6" t="n"/>
      <c r="G140" s="6" t="n"/>
      <c r="H140" s="6" t="n"/>
      <c r="I140" s="6" t="n"/>
      <c r="J140" s="6" t="n"/>
      <c r="K140" s="6" t="inlineStr">
        <is>
          <t>FLOWCAP_* environment variables (tools/flow-capsule)</t>
        </is>
      </c>
      <c r="L140" s="6" t="inlineStr">
        <is>
          <t>n/a</t>
        </is>
      </c>
      <c r="M140" s="6" t="n"/>
      <c r="N140" s="6" t="n"/>
      <c r="O140" s="6" t="n"/>
      <c r="P140" s="12" t="inlineStr">
        <is>
          <t>OK</t>
        </is>
      </c>
      <c r="Q140" s="6" t="inlineStr">
        <is>
          <t>Present; no gap found.</t>
        </is>
      </c>
      <c r="R140" s="6" t="n"/>
      <c r="S140" s="8" t="n"/>
      <c r="T140" s="9" t="n"/>
      <c r="U140" s="8" t="n"/>
    </row>
    <row r="141">
      <c r="A141" s="6" t="inlineStr">
        <is>
          <t>TR-256</t>
        </is>
      </c>
      <c r="B141" s="6" t="inlineStr">
        <is>
          <t>Other template · Document template</t>
        </is>
      </c>
      <c r="C141" s="6" t="inlineStr">
        <is>
          <t>Repository</t>
        </is>
      </c>
      <c r="D141" s="6" t="inlineStr">
        <is>
          <t>Portal printable record ("Save as PDF")</t>
        </is>
      </c>
      <c r="E141" s="6" t="n"/>
      <c r="F141" s="6" t="n"/>
      <c r="G141" s="6" t="n"/>
      <c r="H141" s="6" t="n"/>
      <c r="I141" s="6" t="n"/>
      <c r="J141" s="6" t="n"/>
      <c r="K141" s="6" t="inlineStr">
        <is>
          <t>document-portal/js/track.js (print view)</t>
        </is>
      </c>
      <c r="L141" s="6" t="inlineStr">
        <is>
          <t>n/a</t>
        </is>
      </c>
      <c r="M141" s="6" t="n"/>
      <c r="N141" s="6" t="n"/>
      <c r="O141" s="6" t="n"/>
      <c r="P141" s="12" t="inlineStr">
        <is>
          <t>OK</t>
        </is>
      </c>
      <c r="Q141" s="6" t="inlineStr">
        <is>
          <t>Present; no gap found.</t>
        </is>
      </c>
      <c r="R141" s="6" t="n"/>
      <c r="S141" s="8" t="n"/>
      <c r="T141" s="9" t="n"/>
      <c r="U141" s="8" t="n"/>
    </row>
    <row r="142">
      <c r="A142" s="6" t="inlineStr">
        <is>
          <t>TR-257</t>
        </is>
      </c>
      <c r="B142" s="6" t="inlineStr">
        <is>
          <t>Other template · Document template</t>
        </is>
      </c>
      <c r="C142" s="6" t="inlineStr">
        <is>
          <t>Repository</t>
        </is>
      </c>
      <c r="D142" s="6" t="inlineStr">
        <is>
          <t>Universal filename policy (Word)</t>
        </is>
      </c>
      <c r="E142" s="6" t="n"/>
      <c r="F142" s="6" t="n"/>
      <c r="G142" s="6" t="n"/>
      <c r="H142" s="6" t="n"/>
      <c r="I142" s="6" t="n"/>
      <c r="J142" s="6" t="n"/>
      <c r="K142" s="6" t="inlineStr">
        <is>
          <t>docs/policies/universal-filename-policy/universal_filename_policy_word_version.docx</t>
        </is>
      </c>
      <c r="L142" s="6" t="inlineStr">
        <is>
          <t>n/a</t>
        </is>
      </c>
      <c r="M142" s="6" t="n"/>
      <c r="N142" s="6" t="n"/>
      <c r="O142" s="6" t="n"/>
      <c r="P142" s="12" t="inlineStr">
        <is>
          <t>OK</t>
        </is>
      </c>
      <c r="Q142" s="6" t="inlineStr">
        <is>
          <t>Present; no gap found.</t>
        </is>
      </c>
      <c r="R142" s="6" t="n"/>
      <c r="S142" s="8" t="n"/>
      <c r="T142" s="9" t="n"/>
      <c r="U142" s="8" t="n"/>
    </row>
    <row r="143">
      <c r="A143" s="6" t="inlineStr">
        <is>
          <t>TR-247</t>
        </is>
      </c>
      <c r="B143" s="6" t="inlineStr">
        <is>
          <t>Other template · Flow template</t>
        </is>
      </c>
      <c r="C143" s="6" t="inlineStr">
        <is>
          <t>Repository</t>
        </is>
      </c>
      <c r="D143" s="6" t="inlineStr">
        <is>
          <t>Consumer self-registration flow template</t>
        </is>
      </c>
      <c r="E143" s="6" t="n"/>
      <c r="F143" s="6" t="n"/>
      <c r="G143" s="6" t="n"/>
      <c r="H143" s="6" t="n"/>
      <c r="I143" s="6" t="n"/>
      <c r="J143" s="6" t="n"/>
      <c r="K143" s="6" t="inlineStr">
        <is>
          <t>07 - GOV - Consumer HTTP Self-Registration Template (c6a011c5)</t>
        </is>
      </c>
      <c r="L143" s="6" t="inlineStr">
        <is>
          <t>n/a</t>
        </is>
      </c>
      <c r="M143" s="6" t="n"/>
      <c r="N143" s="6" t="n"/>
      <c r="O143" s="6" t="n"/>
      <c r="P143" s="12" t="inlineStr">
        <is>
          <t>OK</t>
        </is>
      </c>
      <c r="Q143" s="6" t="inlineStr">
        <is>
          <t>Present; no gap found.</t>
        </is>
      </c>
      <c r="R143" s="6" t="n"/>
      <c r="S143" s="8" t="n"/>
      <c r="T143" s="9" t="n"/>
      <c r="U143" s="8" t="n"/>
    </row>
    <row r="144">
      <c r="A144" s="6" t="inlineStr">
        <is>
          <t>TR-248</t>
        </is>
      </c>
      <c r="B144" s="6" t="inlineStr">
        <is>
          <t>Other template · Flow template</t>
        </is>
      </c>
      <c r="C144" s="6" t="inlineStr">
        <is>
          <t>Repository</t>
        </is>
      </c>
      <c r="D144" s="6" t="inlineStr">
        <is>
          <t>Identification kit (9 scope snippets)</t>
        </is>
      </c>
      <c r="E144" s="6" t="n"/>
      <c r="F144" s="6" t="n"/>
      <c r="G144" s="6" t="n"/>
      <c r="H144" s="6" t="n"/>
      <c r="I144" s="6" t="n"/>
      <c r="J144" s="6" t="n"/>
      <c r="K144" s="6" t="inlineStr">
        <is>
          <t>packages/identification-kit/00…08-*.designer-paste.json</t>
        </is>
      </c>
      <c r="L144" s="6" t="inlineStr">
        <is>
          <t>n/a</t>
        </is>
      </c>
      <c r="M144" s="6" t="n"/>
      <c r="N144" s="6" t="n"/>
      <c r="O144" s="6" t="n"/>
      <c r="P144" s="12" t="inlineStr">
        <is>
          <t>OK</t>
        </is>
      </c>
      <c r="Q144" s="6" t="inlineStr">
        <is>
          <t>Present; no gap found.</t>
        </is>
      </c>
      <c r="R144" s="6" t="n"/>
      <c r="S144" s="8" t="n"/>
      <c r="T144" s="9" t="n"/>
      <c r="U144" s="8" t="n"/>
    </row>
    <row r="145">
      <c r="A145" s="6" t="inlineStr">
        <is>
          <t>TR-249</t>
        </is>
      </c>
      <c r="B145" s="6" t="inlineStr">
        <is>
          <t>Other template · Flow template</t>
        </is>
      </c>
      <c r="C145" s="6" t="inlineStr">
        <is>
          <t>Repository</t>
        </is>
      </c>
      <c r="D145" s="6" t="inlineStr">
        <is>
          <t>Flow build specification</t>
        </is>
      </c>
      <c r="E145" s="6" t="n"/>
      <c r="F145" s="6" t="n"/>
      <c r="G145" s="6" t="n"/>
      <c r="H145" s="6" t="n"/>
      <c r="I145" s="6" t="n"/>
      <c r="J145" s="6" t="n"/>
      <c r="K145" s="6" t="inlineStr">
        <is>
          <t>architecture/FLOW_BUILD_SPEC.md</t>
        </is>
      </c>
      <c r="L145" s="6" t="inlineStr">
        <is>
          <t>n/a</t>
        </is>
      </c>
      <c r="M145" s="6" t="n"/>
      <c r="N145" s="6" t="n"/>
      <c r="O145" s="6" t="n"/>
      <c r="P145" s="12" t="inlineStr">
        <is>
          <t>OK</t>
        </is>
      </c>
      <c r="Q145" s="6" t="inlineStr">
        <is>
          <t>Present; no gap found.</t>
        </is>
      </c>
      <c r="R145" s="6" t="n"/>
      <c r="S145" s="8" t="n"/>
      <c r="T145" s="9" t="n"/>
      <c r="U145" s="8" t="n"/>
    </row>
    <row r="146">
      <c r="A146" s="6" t="inlineStr">
        <is>
          <t>TR-258</t>
        </is>
      </c>
      <c r="B146" s="6" t="inlineStr">
        <is>
          <t>Other template · Mail link (no prefilled content)</t>
        </is>
      </c>
      <c r="C146" s="6" t="inlineStr">
        <is>
          <t>Repository</t>
        </is>
      </c>
      <c r="D146" s="6" t="inlineStr">
        <is>
          <t>Portal helpdesk mail links</t>
        </is>
      </c>
      <c r="E146" s="6" t="n"/>
      <c r="F146" s="6" t="n"/>
      <c r="G146" s="6" t="n"/>
      <c r="H146" s="6" t="n"/>
      <c r="I146" s="6" t="n"/>
      <c r="J146" s="6" t="n"/>
      <c r="K146" s="6" t="inlineStr">
        <is>
          <t>document-portal/*.html, js/data.js: mailto:portal@nitda.gov.ng, dpo@nitda.gov.ng</t>
        </is>
      </c>
      <c r="L146" s="6" t="inlineStr">
        <is>
          <t>n/a</t>
        </is>
      </c>
      <c r="M146" s="6" t="n"/>
      <c r="N146" s="6" t="n"/>
      <c r="O146" s="6" t="n"/>
      <c r="P146" s="12" t="inlineStr">
        <is>
          <t>OK</t>
        </is>
      </c>
      <c r="Q146" s="6" t="inlineStr">
        <is>
          <t>Bare addresses; no subject or body prefilled.</t>
        </is>
      </c>
      <c r="R146" s="6" t="n"/>
      <c r="S146" s="8" t="n"/>
      <c r="T146" s="9" t="n"/>
      <c r="U146" s="8" t="n"/>
    </row>
    <row r="147">
      <c r="A147" s="6" t="inlineStr">
        <is>
          <t>TR-241</t>
        </is>
      </c>
      <c r="B147" s="6" t="inlineStr">
        <is>
          <t>Other template · Record template</t>
        </is>
      </c>
      <c r="C147" s="6" t="inlineStr">
        <is>
          <t>Repository</t>
        </is>
      </c>
      <c r="D147" s="6" t="inlineStr">
        <is>
          <t>Production authorisation record</t>
        </is>
      </c>
      <c r="E147" s="6" t="n"/>
      <c r="F147" s="6" t="n"/>
      <c r="G147" s="6" t="n"/>
      <c r="H147" s="6" t="n"/>
      <c r="I147" s="6" t="n"/>
      <c r="J147" s="6" t="n"/>
      <c r="K147" s="6" t="inlineStr">
        <is>
          <t>deployment/notification-instrument/tenant-execution/production-authorisation-template.json</t>
        </is>
      </c>
      <c r="L147" s="6" t="inlineStr">
        <is>
          <t>n/a</t>
        </is>
      </c>
      <c r="M147" s="6" t="n"/>
      <c r="N147" s="6" t="n"/>
      <c r="O147" s="6" t="n"/>
      <c r="P147" s="12" t="inlineStr">
        <is>
          <t>OK</t>
        </is>
      </c>
      <c r="Q147" s="6" t="inlineStr">
        <is>
          <t>Present; no gap found.</t>
        </is>
      </c>
      <c r="R147" s="6" t="n"/>
      <c r="S147" s="8" t="n"/>
      <c r="T147" s="9" t="n"/>
      <c r="U147" s="8" t="n"/>
    </row>
    <row r="148">
      <c r="A148" s="6" t="inlineStr">
        <is>
          <t>TR-242</t>
        </is>
      </c>
      <c r="B148" s="6" t="inlineStr">
        <is>
          <t>Other template · Record template</t>
        </is>
      </c>
      <c r="C148" s="6" t="inlineStr">
        <is>
          <t>Repository</t>
        </is>
      </c>
      <c r="D148" s="6" t="inlineStr">
        <is>
          <t>Risk acceptance record</t>
        </is>
      </c>
      <c r="E148" s="6" t="n"/>
      <c r="F148" s="6" t="n"/>
      <c r="G148" s="6" t="n"/>
      <c r="H148" s="6" t="n"/>
      <c r="I148" s="6" t="n"/>
      <c r="J148" s="6" t="n"/>
      <c r="K148" s="6" t="inlineStr">
        <is>
          <t>deployment/notification-instrument/tenant-execution/risk-acceptance-template.json</t>
        </is>
      </c>
      <c r="L148" s="6" t="inlineStr">
        <is>
          <t>n/a</t>
        </is>
      </c>
      <c r="M148" s="6" t="n"/>
      <c r="N148" s="6" t="n"/>
      <c r="O148" s="6" t="n"/>
      <c r="P148" s="12" t="inlineStr">
        <is>
          <t>OK</t>
        </is>
      </c>
      <c r="Q148" s="6" t="inlineStr">
        <is>
          <t>Present; no gap found.</t>
        </is>
      </c>
      <c r="R148" s="6" t="n"/>
      <c r="S148" s="8" t="n"/>
      <c r="T148" s="9" t="n"/>
      <c r="U148" s="8" t="n"/>
    </row>
    <row r="149">
      <c r="A149" s="6" t="inlineStr">
        <is>
          <t>TR-243</t>
        </is>
      </c>
      <c r="B149" s="6" t="inlineStr">
        <is>
          <t>Other template · Record template</t>
        </is>
      </c>
      <c r="C149" s="6" t="inlineStr">
        <is>
          <t>Repository</t>
        </is>
      </c>
      <c r="D149" s="6" t="inlineStr">
        <is>
          <t>Flow inventory record</t>
        </is>
      </c>
      <c r="E149" s="6" t="n"/>
      <c r="F149" s="6" t="n"/>
      <c r="G149" s="6" t="n"/>
      <c r="H149" s="6" t="n"/>
      <c r="I149" s="6" t="n"/>
      <c r="J149" s="6" t="n"/>
      <c r="K149" s="6" t="inlineStr">
        <is>
          <t>deployment/notification-instrument/tenant-execution/templates/flow-inventory-record.json</t>
        </is>
      </c>
      <c r="L149" s="6" t="inlineStr">
        <is>
          <t>n/a</t>
        </is>
      </c>
      <c r="M149" s="6" t="n"/>
      <c r="N149" s="6" t="n"/>
      <c r="O149" s="6" t="n"/>
      <c r="P149" s="12" t="inlineStr">
        <is>
          <t>OK</t>
        </is>
      </c>
      <c r="Q149" s="6" t="inlineStr">
        <is>
          <t>Present; no gap found.</t>
        </is>
      </c>
      <c r="R149" s="6" t="n"/>
      <c r="S149" s="8" t="n"/>
      <c r="T149" s="9" t="n"/>
      <c r="U149" s="8" t="n"/>
    </row>
    <row r="150">
      <c r="A150" s="6" t="inlineStr">
        <is>
          <t>TR-244</t>
        </is>
      </c>
      <c r="B150" s="6" t="inlineStr">
        <is>
          <t>Other template · Record template</t>
        </is>
      </c>
      <c r="C150" s="6" t="inlineStr">
        <is>
          <t>Repository</t>
        </is>
      </c>
      <c r="D150" s="6" t="inlineStr">
        <is>
          <t>Notification result record</t>
        </is>
      </c>
      <c r="E150" s="6" t="n"/>
      <c r="F150" s="6" t="n"/>
      <c r="G150" s="6" t="n"/>
      <c r="H150" s="6" t="n"/>
      <c r="I150" s="6" t="n"/>
      <c r="J150" s="6" t="n"/>
      <c r="K150" s="6" t="inlineStr">
        <is>
          <t>deployment/notification-instrument/tenant-execution/templates/notification-result-record.json</t>
        </is>
      </c>
      <c r="L150" s="6" t="inlineStr">
        <is>
          <t>n/a</t>
        </is>
      </c>
      <c r="M150" s="6" t="n"/>
      <c r="N150" s="6" t="n"/>
      <c r="O150" s="6" t="n"/>
      <c r="P150" s="12" t="inlineStr">
        <is>
          <t>OK</t>
        </is>
      </c>
      <c r="Q150" s="6" t="inlineStr">
        <is>
          <t>Present; no gap found.</t>
        </is>
      </c>
      <c r="R150" s="6" t="n"/>
      <c r="S150" s="8" t="n"/>
      <c r="T150" s="9" t="n"/>
      <c r="U150" s="8" t="n"/>
    </row>
    <row r="151">
      <c r="A151" s="6" t="inlineStr">
        <is>
          <t>TR-245</t>
        </is>
      </c>
      <c r="B151" s="6" t="inlineStr">
        <is>
          <t>Other template · Registry template</t>
        </is>
      </c>
      <c r="C151" s="6" t="inlineStr">
        <is>
          <t>Repository</t>
        </is>
      </c>
      <c r="D151" s="6" t="inlineStr">
        <is>
          <t>Flow registry template</t>
        </is>
      </c>
      <c r="E151" s="6" t="n"/>
      <c r="F151" s="6" t="n"/>
      <c r="G151" s="6" t="n"/>
      <c r="H151" s="6" t="n"/>
      <c r="I151" s="6" t="n"/>
      <c r="J151" s="6" t="n"/>
      <c r="K151" s="6" t="inlineStr">
        <is>
          <t>reference/platform-architecture-pack/FLOW_REGISTRY_TEMPLATE.md</t>
        </is>
      </c>
      <c r="L151" s="6" t="inlineStr">
        <is>
          <t>n/a</t>
        </is>
      </c>
      <c r="M151" s="6" t="n"/>
      <c r="N151" s="6" t="n"/>
      <c r="O151" s="6" t="n"/>
      <c r="P151" s="12" t="inlineStr">
        <is>
          <t>OK</t>
        </is>
      </c>
      <c r="Q151" s="6" t="inlineStr">
        <is>
          <t>Present; no gap found.</t>
        </is>
      </c>
      <c r="R151" s="6" t="n"/>
      <c r="S151" s="8" t="n"/>
      <c r="T151" s="9" t="n"/>
      <c r="U151" s="8" t="n"/>
    </row>
    <row r="152">
      <c r="A152" s="6" t="inlineStr">
        <is>
          <t>TR-246</t>
        </is>
      </c>
      <c r="B152" s="6" t="inlineStr">
        <is>
          <t>Other template · Registry template</t>
        </is>
      </c>
      <c r="C152" s="6" t="inlineStr">
        <is>
          <t>Repository</t>
        </is>
      </c>
      <c r="D152" s="6" t="inlineStr">
        <is>
          <t>Module registry template</t>
        </is>
      </c>
      <c r="E152" s="6" t="n"/>
      <c r="F152" s="6" t="n"/>
      <c r="G152" s="6" t="n"/>
      <c r="H152" s="6" t="n"/>
      <c r="I152" s="6" t="n"/>
      <c r="J152" s="6" t="n"/>
      <c r="K152" s="6" t="inlineStr">
        <is>
          <t>docs/reference/platform-architecture-pack/MODULE_REGISTRY_TEMPLATE.md</t>
        </is>
      </c>
      <c r="L152" s="6" t="inlineStr">
        <is>
          <t>n/a</t>
        </is>
      </c>
      <c r="M152" s="6" t="n"/>
      <c r="N152" s="6" t="n"/>
      <c r="O152" s="6" t="n"/>
      <c r="P152" s="12" t="inlineStr">
        <is>
          <t>OK</t>
        </is>
      </c>
      <c r="Q152" s="6" t="inlineStr">
        <is>
          <t>Present; no gap found.</t>
        </is>
      </c>
      <c r="R152" s="6" t="n"/>
      <c r="S152" s="8" t="n"/>
      <c r="T152" s="9" t="n"/>
      <c r="U152" s="8" t="n"/>
    </row>
    <row r="153">
      <c r="A153" s="6" t="inlineStr">
        <is>
          <t>TR-250</t>
        </is>
      </c>
      <c r="B153" s="6" t="inlineStr">
        <is>
          <t>Other template · Tool template</t>
        </is>
      </c>
      <c r="C153" s="6" t="inlineStr">
        <is>
          <t>Repository</t>
        </is>
      </c>
      <c r="D153" s="6" t="inlineStr">
        <is>
          <t>Flow Estate report page</t>
        </is>
      </c>
      <c r="E153" s="6" t="n"/>
      <c r="F153" s="6" t="n"/>
      <c r="G153" s="6" t="n"/>
      <c r="H153" s="6" t="n"/>
      <c r="I153" s="6" t="n"/>
      <c r="J153" s="6" t="n"/>
      <c r="K153" s="6" t="inlineStr">
        <is>
          <t>scripts/lib/folio-flows-report.template.html</t>
        </is>
      </c>
      <c r="L153" s="6" t="inlineStr">
        <is>
          <t>n/a</t>
        </is>
      </c>
      <c r="M153" s="6" t="n"/>
      <c r="N153" s="6" t="n"/>
      <c r="O153" s="6" t="n"/>
      <c r="P153" s="12" t="inlineStr">
        <is>
          <t>OK</t>
        </is>
      </c>
      <c r="Q153" s="6" t="inlineStr">
        <is>
          <t>Present; no gap found.</t>
        </is>
      </c>
      <c r="R153" s="6" t="n"/>
      <c r="S153" s="8" t="n"/>
      <c r="T153" s="9" t="n"/>
      <c r="U153" s="8" t="n"/>
    </row>
    <row r="154">
      <c r="A154" s="6" t="inlineStr">
        <is>
          <t>TR-251</t>
        </is>
      </c>
      <c r="B154" s="6" t="inlineStr">
        <is>
          <t>Other template · Tool template</t>
        </is>
      </c>
      <c r="C154" s="6" t="inlineStr">
        <is>
          <t>Repository</t>
        </is>
      </c>
      <c r="D154" s="6" t="inlineStr">
        <is>
          <t>Harvest bookmarklet</t>
        </is>
      </c>
      <c r="E154" s="6" t="n"/>
      <c r="F154" s="6" t="n"/>
      <c r="G154" s="6" t="n"/>
      <c r="H154" s="6" t="n"/>
      <c r="I154" s="6" t="n"/>
      <c r="J154" s="6" t="n"/>
      <c r="K154" s="6" t="inlineStr">
        <is>
          <t>scripts/lib/harvest-bookmarklet.template.js</t>
        </is>
      </c>
      <c r="L154" s="6" t="inlineStr">
        <is>
          <t>n/a</t>
        </is>
      </c>
      <c r="M154" s="6" t="n"/>
      <c r="N154" s="6" t="n"/>
      <c r="O154" s="6" t="n"/>
      <c r="P154" s="12" t="inlineStr">
        <is>
          <t>OK</t>
        </is>
      </c>
      <c r="Q154" s="6" t="inlineStr">
        <is>
          <t>Present; no gap found.</t>
        </is>
      </c>
      <c r="R154" s="6" t="n"/>
      <c r="S154" s="8" t="n"/>
      <c r="T154" s="9" t="n"/>
      <c r="U154" s="8" t="n"/>
    </row>
    <row r="155">
      <c r="A155" s="6" t="inlineStr">
        <is>
          <t>TR-252</t>
        </is>
      </c>
      <c r="B155" s="6" t="inlineStr">
        <is>
          <t>Other template · Tool template</t>
        </is>
      </c>
      <c r="C155" s="6" t="inlineStr">
        <is>
          <t>Repository</t>
        </is>
      </c>
      <c r="D155" s="6" t="inlineStr">
        <is>
          <t>Harvest console</t>
        </is>
      </c>
      <c r="E155" s="6" t="n"/>
      <c r="F155" s="6" t="n"/>
      <c r="G155" s="6" t="n"/>
      <c r="H155" s="6" t="n"/>
      <c r="I155" s="6" t="n"/>
      <c r="J155" s="6" t="n"/>
      <c r="K155" s="6" t="inlineStr">
        <is>
          <t>scripts/lib/harvest-console.template.js</t>
        </is>
      </c>
      <c r="L155" s="6" t="inlineStr">
        <is>
          <t>n/a</t>
        </is>
      </c>
      <c r="M155" s="6" t="n"/>
      <c r="N155" s="6" t="n"/>
      <c r="O155" s="6" t="n"/>
      <c r="P155" s="12" t="inlineStr">
        <is>
          <t>OK</t>
        </is>
      </c>
      <c r="Q155" s="6" t="inlineStr">
        <is>
          <t>Present; no gap found.</t>
        </is>
      </c>
      <c r="R155" s="6" t="n"/>
      <c r="S155" s="8" t="n"/>
      <c r="T155" s="9" t="n"/>
      <c r="U155" s="8" t="n"/>
    </row>
    <row r="156">
      <c r="A156" s="6" t="inlineStr">
        <is>
          <t>TR-253</t>
        </is>
      </c>
      <c r="B156" s="6" t="inlineStr">
        <is>
          <t>Other template · Tool template</t>
        </is>
      </c>
      <c r="C156" s="6" t="inlineStr">
        <is>
          <t>Repository</t>
        </is>
      </c>
      <c r="D156" s="6" t="inlineStr">
        <is>
          <t>Internal preflight</t>
        </is>
      </c>
      <c r="E156" s="6" t="n"/>
      <c r="F156" s="6" t="n"/>
      <c r="G156" s="6" t="n"/>
      <c r="H156" s="6" t="n"/>
      <c r="I156" s="6" t="n"/>
      <c r="J156" s="6" t="n"/>
      <c r="K156" s="6" t="inlineStr">
        <is>
          <t>scripts/lib/internal-preflight.template.js</t>
        </is>
      </c>
      <c r="L156" s="6" t="inlineStr">
        <is>
          <t>n/a</t>
        </is>
      </c>
      <c r="M156" s="6" t="n"/>
      <c r="N156" s="6" t="n"/>
      <c r="O156" s="6" t="n"/>
      <c r="P156" s="12" t="inlineStr">
        <is>
          <t>OK</t>
        </is>
      </c>
      <c r="Q156" s="6" t="inlineStr">
        <is>
          <t>Present; no gap found.</t>
        </is>
      </c>
      <c r="R156" s="6" t="n"/>
      <c r="S156" s="8" t="n"/>
      <c r="T156" s="9" t="n"/>
      <c r="U156" s="8" t="n"/>
    </row>
    <row r="157">
      <c r="A157" s="6" t="inlineStr">
        <is>
          <t>TR-254</t>
        </is>
      </c>
      <c r="B157" s="6" t="inlineStr">
        <is>
          <t>Other template · Tool template</t>
        </is>
      </c>
      <c r="C157" s="6" t="inlineStr">
        <is>
          <t>Repository</t>
        </is>
      </c>
      <c r="D157" s="6" t="inlineStr">
        <is>
          <t>SharePoint browser provisioner</t>
        </is>
      </c>
      <c r="E157" s="6" t="n"/>
      <c r="F157" s="6" t="n"/>
      <c r="G157" s="6" t="n"/>
      <c r="H157" s="6" t="n"/>
      <c r="I157" s="6" t="n"/>
      <c r="J157" s="6" t="n"/>
      <c r="K157" s="6" t="inlineStr">
        <is>
          <t>scripts/lib/sharepoint-browser-provisioner.template.js</t>
        </is>
      </c>
      <c r="L157" s="6" t="inlineStr">
        <is>
          <t>n/a</t>
        </is>
      </c>
      <c r="M157" s="6" t="n"/>
      <c r="N157" s="6" t="n"/>
      <c r="O157" s="6" t="n"/>
      <c r="P157" s="12" t="inlineStr">
        <is>
          <t>OK</t>
        </is>
      </c>
      <c r="Q157" s="6" t="inlineStr">
        <is>
          <t>Present; no gap found.</t>
        </is>
      </c>
      <c r="R157" s="6" t="n"/>
      <c r="S157" s="8" t="n"/>
      <c r="T157" s="9" t="n"/>
      <c r="U157" s="8" t="n"/>
    </row>
    <row r="158">
      <c r="A158" s="6" t="inlineStr">
        <is>
          <t>TR-255</t>
        </is>
      </c>
      <c r="B158" s="6" t="inlineStr">
        <is>
          <t>Other template · Tool template</t>
        </is>
      </c>
      <c r="C158" s="6" t="inlineStr">
        <is>
          <t>Repository</t>
        </is>
      </c>
      <c r="D158" s="6" t="inlineStr">
        <is>
          <t>Flow Workbench page</t>
        </is>
      </c>
      <c r="E158" s="6" t="n"/>
      <c r="F158" s="6" t="n"/>
      <c r="G158" s="6" t="n"/>
      <c r="H158" s="6" t="n"/>
      <c r="I158" s="6" t="n"/>
      <c r="J158" s="6" t="n"/>
      <c r="K158" s="6" t="inlineStr">
        <is>
          <t>tools/flow-workbench/template.html</t>
        </is>
      </c>
      <c r="L158" s="6" t="inlineStr">
        <is>
          <t>n/a</t>
        </is>
      </c>
      <c r="M158" s="6" t="n"/>
      <c r="N158" s="6" t="n"/>
      <c r="O158" s="6" t="n"/>
      <c r="P158" s="12" t="inlineStr">
        <is>
          <t>OK</t>
        </is>
      </c>
      <c r="Q158" s="6" t="inlineStr">
        <is>
          <t>Present; no gap found.</t>
        </is>
      </c>
      <c r="R158" s="6" t="n"/>
      <c r="S158" s="8" t="n"/>
      <c r="T158" s="9" t="n"/>
      <c r="U158" s="8" t="n"/>
    </row>
    <row r="159">
      <c r="A159" s="6" t="inlineStr">
        <is>
          <t>TR-105</t>
        </is>
      </c>
      <c r="B159" s="6" t="inlineStr">
        <is>
          <t>Required notification · other</t>
        </is>
      </c>
      <c r="C159" s="6" t="inlineStr">
        <is>
          <t>flow-estate</t>
        </is>
      </c>
      <c r="D159" s="6" t="inlineStr">
        <is>
          <t>A failed outbound message is retried</t>
        </is>
      </c>
      <c r="E159" s="6" t="inlineStr">
        <is>
          <t>docs/folio-Master-Flows-and-Endpoints/contracts/deployed/AUTO_SCHEDULED_SWEEP__8c19b45c-4174-4d2f-9429-ffd08dd1a5ae__full_definition.json, t</t>
        </is>
      </c>
      <c r="F159" s="6" t="n"/>
      <c r="G159" s="6" t="n"/>
      <c r="H159" s="6" t="inlineStr">
        <is>
          <t>RN-027</t>
        </is>
      </c>
      <c r="I159" s="6" t="inlineStr">
        <is>
          <t>citizen</t>
        </is>
      </c>
      <c r="J159" s="6" t="n"/>
      <c r="K159" s="6" t="n"/>
      <c r="L159" s="6" t="inlineStr">
        <is>
          <t>n/a</t>
        </is>
      </c>
      <c r="M159" s="6" t="inlineStr">
        <is>
          <t>n/a</t>
        </is>
      </c>
      <c r="N159" s="6" t="n"/>
      <c r="O159" s="6" t="n"/>
      <c r="P159" s="12" t="inlineStr">
        <is>
          <t>OK</t>
        </is>
      </c>
      <c r="Q159" s="6" t="inlineStr">
        <is>
          <t>A ledger write (resend of the original message), not a separate template.</t>
        </is>
      </c>
      <c r="R159" s="6" t="n"/>
      <c r="S159" s="8" t="n"/>
      <c r="T159" s="9" t="n"/>
      <c r="U159" s="8" t="n"/>
    </row>
    <row r="160">
      <c r="A160" s="6" t="inlineStr">
        <is>
          <t>TR-053</t>
        </is>
      </c>
      <c r="B160" s="6" t="inlineStr">
        <is>
          <t>Flow e-mail · no catalogue template</t>
        </is>
      </c>
      <c r="C160" s="6" t="inlineStr">
        <is>
          <t>Flow estate (background)</t>
        </is>
      </c>
      <c r="D160" s="6" t="inlineStr">
        <is>
          <t>Flow definition telemetry (old flow)</t>
        </is>
      </c>
      <c r="E160" s="6" t="inlineStr">
        <is>
          <t>DGSO INCOMING AI PROCESSING</t>
        </is>
      </c>
      <c r="F160" s="6" t="inlineStr">
        <is>
          <t>b6d92bae-591e-fa1e-52eb-b350cad988a7</t>
        </is>
      </c>
      <c r="G160" s="6" t="inlineStr">
        <is>
          <t>Send_an_email_(V2)_1</t>
        </is>
      </c>
      <c r="H160" s="6" t="inlineStr">
        <is>
          <t>operational</t>
        </is>
      </c>
      <c r="I160" s="6" t="n"/>
      <c r="J160" s="6" t="inlineStr">
        <is>
          <t>dgsRegistry@nitda.gov.ng</t>
        </is>
      </c>
      <c r="K160" s="6" t="inlineStr">
        <is>
          <t>inline in the flow definition</t>
        </is>
      </c>
      <c r="L160" s="6" t="inlineStr">
        <is>
          <t>No</t>
        </is>
      </c>
      <c r="M160" s="6" t="inlineStr">
        <is>
          <t>No</t>
        </is>
      </c>
      <c r="N160" s="6" t="n"/>
      <c r="O160" s="6" t="inlineStr">
        <is>
          <t>Live, unchanged since 2026-10-01 capture</t>
        </is>
      </c>
      <c r="P160" s="13" t="inlineStr">
        <is>
          <t>RETIRED</t>
        </is>
      </c>
      <c r="Q160" s="6" t="inlineStr">
        <is>
          <t>Flow is Stopped (turned off 2026-10-16, replaced by Folio_Incoming_Correspondence_Scan_Processing_Flow). Its New E-Scan mail loads images from cloudfront.net and flaticon.com.</t>
        </is>
      </c>
      <c r="R160" s="6" t="inlineStr">
        <is>
          <t>Delete with the retired flows.</t>
        </is>
      </c>
      <c r="S160" s="8" t="n"/>
      <c r="T160" s="9" t="n"/>
      <c r="U160" s="8" t="n"/>
    </row>
    <row r="161">
      <c r="A161" s="6" t="inlineStr">
        <is>
          <t>TR-054</t>
        </is>
      </c>
      <c r="B161" s="6" t="inlineStr">
        <is>
          <t>Flow e-mail · no catalogue template</t>
        </is>
      </c>
      <c r="C161" s="6" t="inlineStr">
        <is>
          <t>Flow estate (background)</t>
        </is>
      </c>
      <c r="D161" s="6" t="inlineStr">
        <is>
          <t>New E-Scan notice (old flow)</t>
        </is>
      </c>
      <c r="E161" s="6" t="inlineStr">
        <is>
          <t>DGSO INCOMING AI PROCESSING</t>
        </is>
      </c>
      <c r="F161" s="6" t="inlineStr">
        <is>
          <t>b6d92bae-591e-fa1e-52eb-b350cad988a7</t>
        </is>
      </c>
      <c r="G161" s="6" t="inlineStr">
        <is>
          <t>Send_an_email_(V2)</t>
        </is>
      </c>
      <c r="H161" s="6" t="inlineStr">
        <is>
          <t>operational</t>
        </is>
      </c>
      <c r="I161" s="6" t="n"/>
      <c r="J161" s="6" t="inlineStr">
        <is>
          <t>dgs@nitda.gov.ng</t>
        </is>
      </c>
      <c r="K161" s="6" t="inlineStr">
        <is>
          <t>inline in the flow definition</t>
        </is>
      </c>
      <c r="L161" s="6" t="inlineStr">
        <is>
          <t>No</t>
        </is>
      </c>
      <c r="M161" s="6" t="inlineStr">
        <is>
          <t>No</t>
        </is>
      </c>
      <c r="N161" s="6" t="n"/>
      <c r="O161" s="6" t="inlineStr">
        <is>
          <t>Live, unchanged since 2026-10-01 capture</t>
        </is>
      </c>
      <c r="P161" s="13" t="inlineStr">
        <is>
          <t>RETIRED</t>
        </is>
      </c>
      <c r="Q161" s="6" t="inlineStr">
        <is>
          <t>Flow is Stopped (turned off 2026-10-16, replaced by Folio_Incoming_Correspondence_Scan_Processing_Flow). Its New E-Scan mail loads images from cloudfront.net and flaticon.com.</t>
        </is>
      </c>
      <c r="R161" s="6" t="inlineStr">
        <is>
          <t>Delete with the retired flows.</t>
        </is>
      </c>
      <c r="S161" s="8" t="n"/>
      <c r="T161" s="9" t="n"/>
      <c r="U161" s="8" t="n"/>
    </row>
    <row r="162">
      <c r="A162" s="6" t="inlineStr">
        <is>
          <t>TR-124</t>
        </is>
      </c>
      <c r="B162" s="6" t="inlineStr">
        <is>
          <t>Old library (unwired)</t>
        </is>
      </c>
      <c r="C162" s="6" t="inlineStr">
        <is>
          <t>Folio Workspace</t>
        </is>
      </c>
      <c r="D162" s="6" t="inlineStr">
        <is>
          <t>nitda-ip-01-single-task-assignment — Single Task Assignment</t>
        </is>
      </c>
      <c r="E162" s="6" t="n"/>
      <c r="F162" s="6" t="n"/>
      <c r="G162" s="6" t="inlineStr">
        <is>
          <t>single-assignment module dispatches one task to one officer.</t>
        </is>
      </c>
      <c r="H162" s="6" t="n"/>
      <c r="I162" s="6" t="n"/>
      <c r="J162" s="6" t="n"/>
      <c r="K162" s="6" t="inlineStr">
        <is>
          <t>deployment/notification-instrument/email-templates/deploy/nitda-ip-01-single-task-assignment.html</t>
        </is>
      </c>
      <c r="L162" s="6" t="inlineStr">
        <is>
          <t>No</t>
        </is>
      </c>
      <c r="M162" s="6" t="inlineStr">
        <is>
          <t>No</t>
        </is>
      </c>
      <c r="N162" s="6" t="n"/>
      <c r="O162" s="6" t="inlineStr">
        <is>
          <t>Not wired to any flow</t>
        </is>
      </c>
      <c r="P162" s="13" t="inlineStr">
        <is>
          <t>RETIRED</t>
        </is>
      </c>
      <c r="Q162" s="6" t="inlineStr">
        <is>
          <t>F7: kept beside the catalogue against the 2026-10-03 one-source decision. Live equivalent: SINGLE_ASSIGNMENT.an-email-v2-main-5.</t>
        </is>
      </c>
      <c r="R162" s="6" t="inlineStr">
        <is>
          <t>Mark superseded (or archive) and keep the catalogue as the one source.</t>
        </is>
      </c>
      <c r="S162" s="8" t="n"/>
      <c r="T162" s="9" t="n"/>
      <c r="U162" s="8" t="n"/>
    </row>
    <row r="163">
      <c r="A163" s="6" t="inlineStr">
        <is>
          <t>TR-125</t>
        </is>
      </c>
      <c r="B163" s="6" t="inlineStr">
        <is>
          <t>Old library (unwired)</t>
        </is>
      </c>
      <c r="C163" s="6" t="inlineStr">
        <is>
          <t>Folio Workspace</t>
        </is>
      </c>
      <c r="D163" s="6" t="inlineStr">
        <is>
          <t>nitda-ip-02-bulk-dispatch — Bulk Consolidated Dispatch</t>
        </is>
      </c>
      <c r="E163" s="6" t="n"/>
      <c r="F163" s="6" t="n"/>
      <c r="G163" s="6" t="inlineStr">
        <is>
          <t>bulk-assignment module dispatches a consolidated batch.</t>
        </is>
      </c>
      <c r="H163" s="6" t="n"/>
      <c r="I163" s="6" t="n"/>
      <c r="J163" s="6" t="n"/>
      <c r="K163" s="6" t="inlineStr">
        <is>
          <t>deployment/notification-instrument/email-templates/deploy/nitda-ip-02-bulk-dispatch.html</t>
        </is>
      </c>
      <c r="L163" s="6" t="inlineStr">
        <is>
          <t>No</t>
        </is>
      </c>
      <c r="M163" s="6" t="inlineStr">
        <is>
          <t>No</t>
        </is>
      </c>
      <c r="N163" s="6" t="n"/>
      <c r="O163" s="6" t="inlineStr">
        <is>
          <t>Not wired to any flow</t>
        </is>
      </c>
      <c r="P163" s="13" t="inlineStr">
        <is>
          <t>RETIRED</t>
        </is>
      </c>
      <c r="Q163" s="6" t="inlineStr">
        <is>
          <t>F7: kept beside the catalogue against the 2026-10-03 one-source decision. Live equivalent: BULK_ASSIGNMENT.an-email-v2-main-5.</t>
        </is>
      </c>
      <c r="R163" s="6" t="inlineStr">
        <is>
          <t>Mark superseded (or archive) and keep the catalogue as the one source.</t>
        </is>
      </c>
      <c r="S163" s="8" t="n"/>
      <c r="T163" s="9" t="n"/>
      <c r="U163" s="8" t="n"/>
    </row>
    <row r="164">
      <c r="A164" s="6" t="inlineStr">
        <is>
          <t>TR-126</t>
        </is>
      </c>
      <c r="B164" s="6" t="inlineStr">
        <is>
          <t>Old library (unwired)</t>
        </is>
      </c>
      <c r="C164" s="6" t="inlineStr">
        <is>
          <t>Folio Workspace</t>
        </is>
      </c>
      <c r="D164" s="6" t="inlineStr">
        <is>
          <t>nitda-ip-03-email-to-task — Email-to-Task Assignment</t>
        </is>
      </c>
      <c r="E164" s="6" t="n"/>
      <c r="F164" s="6" t="n"/>
      <c r="G164" s="6" t="inlineStr">
        <is>
          <t>Customer-service mailbox item converted into a registry task.</t>
        </is>
      </c>
      <c r="H164" s="6" t="n"/>
      <c r="I164" s="6" t="n"/>
      <c r="J164" s="6" t="n"/>
      <c r="K164" s="6" t="inlineStr">
        <is>
          <t>deployment/notification-instrument/email-templates/deploy/nitda-ip-03-email-to-task.html</t>
        </is>
      </c>
      <c r="L164" s="6" t="inlineStr">
        <is>
          <t>No</t>
        </is>
      </c>
      <c r="M164" s="6" t="inlineStr">
        <is>
          <t>No</t>
        </is>
      </c>
      <c r="N164" s="6" t="n"/>
      <c r="O164" s="6" t="inlineStr">
        <is>
          <t>Not wired to any flow</t>
        </is>
      </c>
      <c r="P164" s="13" t="inlineStr">
        <is>
          <t>RETIRED</t>
        </is>
      </c>
      <c r="Q164" s="6" t="inlineStr">
        <is>
          <t>F7: kept beside the catalogue against the 2026-10-03 one-source decision. Live equivalent: EMAIL_RELATED_TASK.an-email-v2-main-1-1-1.</t>
        </is>
      </c>
      <c r="R164" s="6" t="inlineStr">
        <is>
          <t>Mark superseded (or archive) and keep the catalogue as the one source.</t>
        </is>
      </c>
      <c r="S164" s="8" t="n"/>
      <c r="T164" s="9" t="n"/>
      <c r="U164" s="8" t="n"/>
    </row>
    <row r="165">
      <c r="A165" s="6" t="inlineStr">
        <is>
          <t>TR-127</t>
        </is>
      </c>
      <c r="B165" s="6" t="inlineStr">
        <is>
          <t>Old library (unwired)</t>
        </is>
      </c>
      <c r="C165" s="6" t="inlineStr">
        <is>
          <t>Folio Workspace</t>
        </is>
      </c>
      <c r="D165" s="6" t="inlineStr">
        <is>
          <t>nitda-ip-04-portal-intake-alert — Portal Intake Alert</t>
        </is>
      </c>
      <c r="E165" s="6" t="n"/>
      <c r="F165" s="6" t="n"/>
      <c r="G165" s="6" t="inlineStr">
        <is>
          <t>Document Portal SUBMISSION flow lands a new public submission in intake.</t>
        </is>
      </c>
      <c r="H165" s="6" t="n"/>
      <c r="I165" s="6" t="n"/>
      <c r="J165" s="6" t="n"/>
      <c r="K165" s="6" t="inlineStr">
        <is>
          <t>deployment/notification-instrument/email-templates/deploy/nitda-ip-04-portal-intake-alert.html</t>
        </is>
      </c>
      <c r="L165" s="6" t="inlineStr">
        <is>
          <t>No</t>
        </is>
      </c>
      <c r="M165" s="6" t="inlineStr">
        <is>
          <t>No</t>
        </is>
      </c>
      <c r="N165" s="6" t="n"/>
      <c r="O165" s="6" t="inlineStr">
        <is>
          <t>Not wired to any flow</t>
        </is>
      </c>
      <c r="P165" s="13" t="inlineStr">
        <is>
          <t>RETIRED</t>
        </is>
      </c>
      <c r="Q165" s="6" t="inlineStr">
        <is>
          <t>F7: kept beside the catalogue against the 2026-10-03 one-source decision. Live equivalent: SUBMISSION.registry-alert.</t>
        </is>
      </c>
      <c r="R165" s="6" t="inlineStr">
        <is>
          <t>Mark superseded (or archive) and keep the catalogue as the one source.</t>
        </is>
      </c>
      <c r="S165" s="8" t="n"/>
      <c r="T165" s="9" t="n"/>
      <c r="U165" s="8" t="n"/>
    </row>
    <row r="166">
      <c r="A166" s="6" t="inlineStr">
        <is>
          <t>TR-128</t>
        </is>
      </c>
      <c r="B166" s="6" t="inlineStr">
        <is>
          <t>Old library (unwired)</t>
        </is>
      </c>
      <c r="C166" s="6" t="inlineStr">
        <is>
          <t>Folio Workspace</t>
        </is>
      </c>
      <c r="D166" s="6" t="inlineStr">
        <is>
          <t>nitda-ip-05-document-submitted-for-review — Document Submitted for Review</t>
        </is>
      </c>
      <c r="E166" s="6" t="n"/>
      <c r="F166" s="6" t="n"/>
      <c r="G166" s="6" t="inlineStr">
        <is>
          <t>An officer routes a document to a reviewer or unit head.</t>
        </is>
      </c>
      <c r="H166" s="6" t="n"/>
      <c r="I166" s="6" t="n"/>
      <c r="J166" s="6" t="n"/>
      <c r="K166" s="6" t="inlineStr">
        <is>
          <t>deployment/notification-instrument/email-templates/deploy/nitda-ip-05-document-submitted-for-review.html</t>
        </is>
      </c>
      <c r="L166" s="6" t="inlineStr">
        <is>
          <t>No</t>
        </is>
      </c>
      <c r="M166" s="6" t="inlineStr">
        <is>
          <t>No</t>
        </is>
      </c>
      <c r="N166" s="6" t="n"/>
      <c r="O166" s="6" t="inlineStr">
        <is>
          <t>Not wired to any flow</t>
        </is>
      </c>
      <c r="P166" s="13" t="inlineStr">
        <is>
          <t>RETIRED</t>
        </is>
      </c>
      <c r="Q166" s="6" t="inlineStr">
        <is>
          <t>F7: kept beside the catalogue against the 2026-10-03 one-source decision. Live equivalent: staff notice RN-017 (approval request) — closest.</t>
        </is>
      </c>
      <c r="R166" s="6" t="inlineStr">
        <is>
          <t>Mark superseded (or archive) and keep the catalogue as the one source.</t>
        </is>
      </c>
      <c r="S166" s="8" t="n"/>
      <c r="T166" s="9" t="n"/>
      <c r="U166" s="8" t="n"/>
    </row>
    <row r="167">
      <c r="A167" s="6" t="inlineStr">
        <is>
          <t>TR-129</t>
        </is>
      </c>
      <c r="B167" s="6" t="inlineStr">
        <is>
          <t>Old library (unwired)</t>
        </is>
      </c>
      <c r="C167" s="6" t="inlineStr">
        <is>
          <t>Folio Workspace</t>
        </is>
      </c>
      <c r="D167" s="6" t="inlineStr">
        <is>
          <t>nitda-ip-06-action-required-reminder — Action Required — Overdue Escalation</t>
        </is>
      </c>
      <c r="E167" s="6" t="n"/>
      <c r="F167" s="6" t="n"/>
      <c r="G167" s="6" t="inlineStr">
        <is>
          <t>A task passes its due date without disposal; escalation rule fires.</t>
        </is>
      </c>
      <c r="H167" s="6" t="n"/>
      <c r="I167" s="6" t="n"/>
      <c r="J167" s="6" t="n"/>
      <c r="K167" s="6" t="inlineStr">
        <is>
          <t>deployment/notification-instrument/email-templates/deploy/nitda-ip-06-action-required-reminder.html</t>
        </is>
      </c>
      <c r="L167" s="6" t="inlineStr">
        <is>
          <t>No</t>
        </is>
      </c>
      <c r="M167" s="6" t="inlineStr">
        <is>
          <t>No</t>
        </is>
      </c>
      <c r="N167" s="6" t="n"/>
      <c r="O167" s="6" t="inlineStr">
        <is>
          <t>Not wired to any flow</t>
        </is>
      </c>
      <c r="P167" s="13" t="inlineStr">
        <is>
          <t>RETIRED</t>
        </is>
      </c>
      <c r="Q167" s="6" t="inlineStr">
        <is>
          <t>F7: kept beside the catalogue against the 2026-10-03 one-source decision. Live equivalent: NOKEY.digest.</t>
        </is>
      </c>
      <c r="R167" s="6" t="inlineStr">
        <is>
          <t>Mark superseded (or archive) and keep the catalogue as the one source.</t>
        </is>
      </c>
      <c r="S167" s="8" t="n"/>
      <c r="T167" s="9" t="n"/>
      <c r="U167" s="8" t="n"/>
    </row>
    <row r="168">
      <c r="A168" s="6" t="inlineStr">
        <is>
          <t>TR-130</t>
        </is>
      </c>
      <c r="B168" s="6" t="inlineStr">
        <is>
          <t>Old library (unwired)</t>
        </is>
      </c>
      <c r="C168" s="6" t="inlineStr">
        <is>
          <t>Folio Workspace</t>
        </is>
      </c>
      <c r="D168" s="6" t="inlineStr">
        <is>
          <t>nitda-ip-07-daily-task-digest — Daily Task Digest</t>
        </is>
      </c>
      <c r="E168" s="6" t="n"/>
      <c r="F168" s="6" t="n"/>
      <c r="G168" s="6" t="inlineStr">
        <is>
          <t>Scheduled daily digest per officer or unit.</t>
        </is>
      </c>
      <c r="H168" s="6" t="n"/>
      <c r="I168" s="6" t="n"/>
      <c r="J168" s="6" t="n"/>
      <c r="K168" s="6" t="inlineStr">
        <is>
          <t>deployment/notification-instrument/email-templates/deploy/nitda-ip-07-daily-task-digest.html</t>
        </is>
      </c>
      <c r="L168" s="6" t="inlineStr">
        <is>
          <t>No</t>
        </is>
      </c>
      <c r="M168" s="6" t="inlineStr">
        <is>
          <t>No</t>
        </is>
      </c>
      <c r="N168" s="6" t="n"/>
      <c r="O168" s="6" t="inlineStr">
        <is>
          <t>Not wired to any flow</t>
        </is>
      </c>
      <c r="P168" s="13" t="inlineStr">
        <is>
          <t>RETIRED</t>
        </is>
      </c>
      <c r="Q168" s="6" t="inlineStr">
        <is>
          <t>F7: kept beside the catalogue against the 2026-10-03 one-source decision. Live equivalent: NOKEY.digest.</t>
        </is>
      </c>
      <c r="R168" s="6" t="inlineStr">
        <is>
          <t>Mark superseded (or archive) and keep the catalogue as the one source.</t>
        </is>
      </c>
      <c r="S168" s="8" t="n"/>
      <c r="T168" s="9" t="n"/>
      <c r="U168" s="8" t="n"/>
    </row>
    <row r="169">
      <c r="A169" s="6" t="inlineStr">
        <is>
          <t>TR-131</t>
        </is>
      </c>
      <c r="B169" s="6" t="inlineStr">
        <is>
          <t>Old library (unwired)</t>
        </is>
      </c>
      <c r="C169" s="6" t="inlineStr">
        <is>
          <t>Folio Workspace</t>
        </is>
      </c>
      <c r="D169" s="6" t="inlineStr">
        <is>
          <t>nitda-ip-08-approval-decision-request — Approval / Decision Request</t>
        </is>
      </c>
      <c r="E169" s="6" t="n"/>
      <c r="F169" s="6" t="n"/>
      <c r="G169" s="6" t="inlineStr">
        <is>
          <t>approvals module routes a matter to a deciding authority.</t>
        </is>
      </c>
      <c r="H169" s="6" t="n"/>
      <c r="I169" s="6" t="n"/>
      <c r="J169" s="6" t="n"/>
      <c r="K169" s="6" t="inlineStr">
        <is>
          <t>deployment/notification-instrument/email-templates/deploy/nitda-ip-08-approval-decision-request.html</t>
        </is>
      </c>
      <c r="L169" s="6" t="inlineStr">
        <is>
          <t>No</t>
        </is>
      </c>
      <c r="M169" s="6" t="inlineStr">
        <is>
          <t>No</t>
        </is>
      </c>
      <c r="N169" s="6" t="n"/>
      <c r="O169" s="6" t="inlineStr">
        <is>
          <t>Not wired to any flow</t>
        </is>
      </c>
      <c r="P169" s="13" t="inlineStr">
        <is>
          <t>RETIRED</t>
        </is>
      </c>
      <c r="Q169" s="6" t="inlineStr">
        <is>
          <t>F7: kept beside the catalogue against the 2026-10-03 one-source decision. Live equivalent: staff notice RN-017.</t>
        </is>
      </c>
      <c r="R169" s="6" t="inlineStr">
        <is>
          <t>Mark superseded (or archive) and keep the catalogue as the one source.</t>
        </is>
      </c>
      <c r="S169" s="8" t="n"/>
      <c r="T169" s="9" t="n"/>
      <c r="U169" s="8" t="n"/>
    </row>
    <row r="170">
      <c r="A170" s="6" t="inlineStr">
        <is>
          <t>TR-132</t>
        </is>
      </c>
      <c r="B170" s="6" t="inlineStr">
        <is>
          <t>Old library (unwired)</t>
        </is>
      </c>
      <c r="C170" s="6" t="inlineStr">
        <is>
          <t>Folio Workspace</t>
        </is>
      </c>
      <c r="D170" s="6" t="inlineStr">
        <is>
          <t>nitda-ip-09-dispatch-transmittal — Dispatch / Transmittal Confirmation</t>
        </is>
      </c>
      <c r="E170" s="6" t="n"/>
      <c r="F170" s="6" t="n"/>
      <c r="G170" s="6" t="inlineStr">
        <is>
          <t>dispatch module confirms outward transmission of a document.</t>
        </is>
      </c>
      <c r="H170" s="6" t="n"/>
      <c r="I170" s="6" t="n"/>
      <c r="J170" s="6" t="n"/>
      <c r="K170" s="6" t="inlineStr">
        <is>
          <t>deployment/notification-instrument/email-templates/deploy/nitda-ip-09-dispatch-transmittal.html</t>
        </is>
      </c>
      <c r="L170" s="6" t="inlineStr">
        <is>
          <t>No</t>
        </is>
      </c>
      <c r="M170" s="6" t="inlineStr">
        <is>
          <t>No</t>
        </is>
      </c>
      <c r="N170" s="6" t="n"/>
      <c r="O170" s="6" t="inlineStr">
        <is>
          <t>Not wired to any flow</t>
        </is>
      </c>
      <c r="P170" s="13" t="inlineStr">
        <is>
          <t>RETIRED</t>
        </is>
      </c>
      <c r="Q170" s="6" t="inlineStr">
        <is>
          <t>F7: kept beside the catalogue against the 2026-10-03 one-source decision. Live equivalent: Correspondence Desk dispatch (RN-022).</t>
        </is>
      </c>
      <c r="R170" s="6" t="inlineStr">
        <is>
          <t>Mark superseded (or archive) and keep the catalogue as the one source.</t>
        </is>
      </c>
      <c r="S170" s="8" t="n"/>
      <c r="T170" s="9" t="n"/>
      <c r="U170" s="8" t="n"/>
    </row>
    <row r="171">
      <c r="A171" s="6" t="inlineStr">
        <is>
          <t>TR-134</t>
        </is>
      </c>
      <c r="B171" s="6" t="inlineStr">
        <is>
          <t>Old library (unwired)</t>
        </is>
      </c>
      <c r="C171" s="6" t="inlineStr">
        <is>
          <t>Folio Workspace</t>
        </is>
      </c>
      <c r="D171" s="6" t="inlineStr">
        <is>
          <t>nitda-ip-11-official-correspondence — Official Correspondence (outbound letterhead)</t>
        </is>
      </c>
      <c r="E171" s="6" t="n"/>
      <c r="F171" s="6" t="n"/>
      <c r="G171" s="6" t="inlineStr">
        <is>
          <t>correspondence-email module composes outbound agency correspondence. Carries all six configured variants (official correspondence, request for information, transmittal, invitation, circular, closure) through Compose_Correspondence_Type and Compose_Body_Html.</t>
        </is>
      </c>
      <c r="H171" s="6" t="n"/>
      <c r="I171" s="6" t="n"/>
      <c r="J171" s="6" t="n"/>
      <c r="K171" s="6" t="inlineStr">
        <is>
          <t>deployment/notification-instrument/email-templates/deploy/nitda-ip-11-official-correspondence.html</t>
        </is>
      </c>
      <c r="L171" s="6" t="inlineStr">
        <is>
          <t>No</t>
        </is>
      </c>
      <c r="M171" s="6" t="inlineStr">
        <is>
          <t>No</t>
        </is>
      </c>
      <c r="N171" s="6" t="n"/>
      <c r="O171" s="6" t="inlineStr">
        <is>
          <t>Not wired to any flow</t>
        </is>
      </c>
      <c r="P171" s="13" t="inlineStr">
        <is>
          <t>RETIRED</t>
        </is>
      </c>
      <c r="Q171" s="6" t="inlineStr">
        <is>
          <t>F7: kept beside the catalogue against the 2026-10-03 one-source decision. Live equivalent: Correspondence Desk (6 templates).</t>
        </is>
      </c>
      <c r="R171" s="6" t="inlineStr">
        <is>
          <t>Mark superseded (or archive) and keep the catalogue as the one source.</t>
        </is>
      </c>
      <c r="S171" s="8" t="n"/>
      <c r="T171" s="9" t="n"/>
      <c r="U171" s="8" t="n"/>
    </row>
    <row r="172">
      <c r="A172" s="6" t="inlineStr">
        <is>
          <t>TR-135</t>
        </is>
      </c>
      <c r="B172" s="6" t="inlineStr">
        <is>
          <t>Old library (unwired)</t>
        </is>
      </c>
      <c r="C172" s="6" t="inlineStr">
        <is>
          <t>Folio Workspace</t>
        </is>
      </c>
      <c r="D172" s="6" t="inlineStr">
        <is>
          <t>nitda-ip-12-single-task-from-email — Single Task Assignment — Email Origin</t>
        </is>
      </c>
      <c r="E172" s="6" t="n"/>
      <c r="F172" s="6" t="n"/>
      <c r="G172" s="6" t="inlineStr">
        <is>
          <t>single-assignment module dispatches one task to one officer where that task was raised from an email received by the Agency.</t>
        </is>
      </c>
      <c r="H172" s="6" t="n"/>
      <c r="I172" s="6" t="n"/>
      <c r="J172" s="6" t="n"/>
      <c r="K172" s="6" t="inlineStr">
        <is>
          <t>deployment/notification-instrument/email-templates/deploy/nitda-ip-12-single-task-from-email.html</t>
        </is>
      </c>
      <c r="L172" s="6" t="inlineStr">
        <is>
          <t>No</t>
        </is>
      </c>
      <c r="M172" s="6" t="inlineStr">
        <is>
          <t>No</t>
        </is>
      </c>
      <c r="N172" s="6" t="n"/>
      <c r="O172" s="6" t="inlineStr">
        <is>
          <t>Not wired to any flow</t>
        </is>
      </c>
      <c r="P172" s="13" t="inlineStr">
        <is>
          <t>RETIRED</t>
        </is>
      </c>
      <c r="Q172" s="6" t="inlineStr">
        <is>
          <t>F7: kept beside the catalogue against the 2026-10-03 one-source decision. Live equivalent: EMAIL_RELATED_TASK.an-email-v2-main-1-1-1.</t>
        </is>
      </c>
      <c r="R172" s="6" t="inlineStr">
        <is>
          <t>Mark superseded (or archive) and keep the catalogue as the one source.</t>
        </is>
      </c>
      <c r="S172" s="8" t="n"/>
      <c r="T172" s="9" t="n"/>
      <c r="U172" s="8" t="n"/>
    </row>
    <row r="173">
      <c r="A173" s="6" t="inlineStr">
        <is>
          <t>TR-136</t>
        </is>
      </c>
      <c r="B173" s="6" t="inlineStr">
        <is>
          <t>Old library (unwired)</t>
        </is>
      </c>
      <c r="C173" s="6" t="inlineStr">
        <is>
          <t>Document Portal</t>
        </is>
      </c>
      <c r="D173" s="6" t="inlineStr">
        <is>
          <t>nitda-dp-01-submission-received — Submission Received — Acknowledgement</t>
        </is>
      </c>
      <c r="E173" s="6" t="n"/>
      <c r="F173" s="6" t="n"/>
      <c r="G173" s="6" t="inlineStr">
        <is>
          <t>SUBMISSION flow returns a minted registry reference.</t>
        </is>
      </c>
      <c r="H173" s="6" t="n"/>
      <c r="I173" s="6" t="n"/>
      <c r="J173" s="6" t="n"/>
      <c r="K173" s="6" t="inlineStr">
        <is>
          <t>deployment/notification-instrument/email-templates/deploy/nitda-dp-01-submission-received.html</t>
        </is>
      </c>
      <c r="L173" s="6" t="inlineStr">
        <is>
          <t>No</t>
        </is>
      </c>
      <c r="M173" s="6" t="inlineStr">
        <is>
          <t>No</t>
        </is>
      </c>
      <c r="N173" s="6" t="n"/>
      <c r="O173" s="6" t="inlineStr">
        <is>
          <t>Not wired to any flow</t>
        </is>
      </c>
      <c r="P173" s="13" t="inlineStr">
        <is>
          <t>RETIRED</t>
        </is>
      </c>
      <c r="Q173" s="6" t="inlineStr">
        <is>
          <t>F7: kept beside the catalogue against the 2026-10-03 one-source decision. Live equivalent: SUBMISSION.sender-acknowledgement.</t>
        </is>
      </c>
      <c r="R173" s="6" t="inlineStr">
        <is>
          <t>Mark superseded (or archive) and keep the catalogue as the one source.</t>
        </is>
      </c>
      <c r="S173" s="8" t="n"/>
      <c r="T173" s="9" t="n"/>
      <c r="U173" s="8" t="n"/>
    </row>
    <row r="174">
      <c r="A174" s="6" t="inlineStr">
        <is>
          <t>TR-137</t>
        </is>
      </c>
      <c r="B174" s="6" t="inlineStr">
        <is>
          <t>Old library (unwired)</t>
        </is>
      </c>
      <c r="C174" s="6" t="inlineStr">
        <is>
          <t>Document Portal</t>
        </is>
      </c>
      <c r="D174" s="6" t="inlineStr">
        <is>
          <t>nitda-dp-02-verification-code — Email Verification Code</t>
        </is>
      </c>
      <c r="E174" s="6" t="n"/>
      <c r="F174" s="6" t="n"/>
      <c r="G174" s="6" t="inlineStr">
        <is>
          <t>VERIFY flow issues a one-time code.</t>
        </is>
      </c>
      <c r="H174" s="6" t="n"/>
      <c r="I174" s="6" t="n"/>
      <c r="J174" s="6" t="n"/>
      <c r="K174" s="6" t="inlineStr">
        <is>
          <t>deployment/notification-instrument/email-templates/deploy/nitda-dp-02-verification-code.html</t>
        </is>
      </c>
      <c r="L174" s="6" t="inlineStr">
        <is>
          <t>No</t>
        </is>
      </c>
      <c r="M174" s="6" t="inlineStr">
        <is>
          <t>No</t>
        </is>
      </c>
      <c r="N174" s="6" t="n"/>
      <c r="O174" s="6" t="inlineStr">
        <is>
          <t>Not wired to any flow</t>
        </is>
      </c>
      <c r="P174" s="13" t="inlineStr">
        <is>
          <t>RETIRED</t>
        </is>
      </c>
      <c r="Q174" s="6" t="inlineStr">
        <is>
          <t>F7: kept beside the catalogue against the 2026-10-03 one-source decision. Live equivalent: VERIFY.verification-code.</t>
        </is>
      </c>
      <c r="R174" s="6" t="inlineStr">
        <is>
          <t>Mark superseded (or archive) and keep the catalogue as the one source.</t>
        </is>
      </c>
      <c r="S174" s="8" t="n"/>
      <c r="T174" s="9" t="n"/>
      <c r="U174" s="8" t="n"/>
    </row>
    <row r="175">
      <c r="A175" s="6" t="inlineStr">
        <is>
          <t>TR-138</t>
        </is>
      </c>
      <c r="B175" s="6" t="inlineStr">
        <is>
          <t>Old library (unwired)</t>
        </is>
      </c>
      <c r="C175" s="6" t="inlineStr">
        <is>
          <t>Document Portal</t>
        </is>
      </c>
      <c r="D175" s="6" t="inlineStr">
        <is>
          <t>nitda-dp-03-under-review — Status — Under Review</t>
        </is>
      </c>
      <c r="E175" s="6" t="n"/>
      <c r="F175" s="6" t="n"/>
      <c r="G175" s="6" t="inlineStr">
        <is>
          <t>Registry moves the record to the governed status "review".</t>
        </is>
      </c>
      <c r="H175" s="6" t="n"/>
      <c r="I175" s="6" t="n"/>
      <c r="J175" s="6" t="n"/>
      <c r="K175" s="6" t="inlineStr">
        <is>
          <t>deployment/notification-instrument/email-templates/deploy/nitda-dp-03-under-review.html</t>
        </is>
      </c>
      <c r="L175" s="6" t="inlineStr">
        <is>
          <t>No</t>
        </is>
      </c>
      <c r="M175" s="6" t="inlineStr">
        <is>
          <t>No</t>
        </is>
      </c>
      <c r="N175" s="6" t="n"/>
      <c r="O175" s="6" t="inlineStr">
        <is>
          <t>Not wired to any flow</t>
        </is>
      </c>
      <c r="P175" s="13" t="inlineStr">
        <is>
          <t>RETIRED</t>
        </is>
      </c>
      <c r="Q175" s="6" t="inlineStr">
        <is>
          <t>F7: kept beside the catalogue against the 2026-10-03 one-source decision. Live equivalent: NOKEY.status-progress / status-acknowledged.</t>
        </is>
      </c>
      <c r="R175" s="6" t="inlineStr">
        <is>
          <t>Mark superseded (or archive) and keep the catalogue as the one source.</t>
        </is>
      </c>
      <c r="S175" s="8" t="n"/>
      <c r="T175" s="9" t="n"/>
      <c r="U175" s="8" t="n"/>
    </row>
    <row r="176">
      <c r="A176" s="6" t="inlineStr">
        <is>
          <t>TR-139</t>
        </is>
      </c>
      <c r="B176" s="6" t="inlineStr">
        <is>
          <t>Old library (unwired)</t>
        </is>
      </c>
      <c r="C176" s="6" t="inlineStr">
        <is>
          <t>Document Portal</t>
        </is>
      </c>
      <c r="D176" s="6" t="inlineStr">
        <is>
          <t>nitda-dp-04-request-for-information — Action Required — Request for Information</t>
        </is>
      </c>
      <c r="E176" s="6" t="n"/>
      <c r="F176" s="6" t="n"/>
      <c r="G176" s="6" t="inlineStr">
        <is>
          <t>Officer raises a request for information; status becomes "action-required".</t>
        </is>
      </c>
      <c r="H176" s="6" t="n"/>
      <c r="I176" s="6" t="n"/>
      <c r="J176" s="6" t="n"/>
      <c r="K176" s="6" t="inlineStr">
        <is>
          <t>deployment/notification-instrument/email-templates/deploy/nitda-dp-04-request-for-information.html</t>
        </is>
      </c>
      <c r="L176" s="6" t="inlineStr">
        <is>
          <t>No</t>
        </is>
      </c>
      <c r="M176" s="6" t="inlineStr">
        <is>
          <t>No</t>
        </is>
      </c>
      <c r="N176" s="6" t="n"/>
      <c r="O176" s="6" t="inlineStr">
        <is>
          <t>Not wired to any flow</t>
        </is>
      </c>
      <c r="P176" s="13" t="inlineStr">
        <is>
          <t>RETIRED</t>
        </is>
      </c>
      <c r="Q176" s="6" t="inlineStr">
        <is>
          <t>F7: kept beside the catalogue against the 2026-10-03 one-source decision. Live equivalent: NOKEY.status-actionrequired.</t>
        </is>
      </c>
      <c r="R176" s="6" t="inlineStr">
        <is>
          <t>Mark superseded (or archive) and keep the catalogue as the one source.</t>
        </is>
      </c>
      <c r="S176" s="8" t="n"/>
      <c r="T176" s="9" t="n"/>
      <c r="U176" s="8" t="n"/>
    </row>
    <row r="177">
      <c r="A177" s="6" t="inlineStr">
        <is>
          <t>TR-140</t>
        </is>
      </c>
      <c r="B177" s="6" t="inlineStr">
        <is>
          <t>Old library (unwired)</t>
        </is>
      </c>
      <c r="C177" s="6" t="inlineStr">
        <is>
          <t>Document Portal</t>
        </is>
      </c>
      <c r="D177" s="6" t="inlineStr">
        <is>
          <t>nitda-dp-05-decision-issued — Decision Issued</t>
        </is>
      </c>
      <c r="E177" s="6" t="n"/>
      <c r="F177" s="6" t="n"/>
      <c r="G177" s="6" t="inlineStr">
        <is>
          <t>Unit head or DGCEO issues a decision (approved / declined).</t>
        </is>
      </c>
      <c r="H177" s="6" t="n"/>
      <c r="I177" s="6" t="n"/>
      <c r="J177" s="6" t="n"/>
      <c r="K177" s="6" t="inlineStr">
        <is>
          <t>deployment/notification-instrument/email-templates/deploy/nitda-dp-05-decision-issued.html</t>
        </is>
      </c>
      <c r="L177" s="6" t="inlineStr">
        <is>
          <t>No</t>
        </is>
      </c>
      <c r="M177" s="6" t="inlineStr">
        <is>
          <t>No</t>
        </is>
      </c>
      <c r="N177" s="6" t="n"/>
      <c r="O177" s="6" t="inlineStr">
        <is>
          <t>Not wired to any flow</t>
        </is>
      </c>
      <c r="P177" s="13" t="inlineStr">
        <is>
          <t>RETIRED</t>
        </is>
      </c>
      <c r="Q177" s="6" t="inlineStr">
        <is>
          <t>F7: kept beside the catalogue against the 2026-10-03 one-source decision. Live equivalent: NOKEY.status-approved / status-declined.</t>
        </is>
      </c>
      <c r="R177" s="6" t="inlineStr">
        <is>
          <t>Mark superseded (or archive) and keep the catalogue as the one source.</t>
        </is>
      </c>
      <c r="S177" s="8" t="n"/>
      <c r="T177" s="9" t="n"/>
      <c r="U177" s="8" t="n"/>
    </row>
    <row r="178">
      <c r="A178" s="6" t="inlineStr">
        <is>
          <t>TR-141</t>
        </is>
      </c>
      <c r="B178" s="6" t="inlineStr">
        <is>
          <t>Old library (unwired)</t>
        </is>
      </c>
      <c r="C178" s="6" t="inlineStr">
        <is>
          <t>Document Portal</t>
        </is>
      </c>
      <c r="D178" s="6" t="inlineStr">
        <is>
          <t>nitda-dp-06-matter-closed — Matter Closed — Final Response</t>
        </is>
      </c>
      <c r="E178" s="6" t="n"/>
      <c r="F178" s="6" t="n"/>
      <c r="G178" s="6" t="inlineStr">
        <is>
          <t>Registry closes and archives the record.</t>
        </is>
      </c>
      <c r="H178" s="6" t="n"/>
      <c r="I178" s="6" t="n"/>
      <c r="J178" s="6" t="n"/>
      <c r="K178" s="6" t="inlineStr">
        <is>
          <t>deployment/notification-instrument/email-templates/deploy/nitda-dp-06-matter-closed.html</t>
        </is>
      </c>
      <c r="L178" s="6" t="inlineStr">
        <is>
          <t>No</t>
        </is>
      </c>
      <c r="M178" s="6" t="inlineStr">
        <is>
          <t>No</t>
        </is>
      </c>
      <c r="N178" s="6" t="n"/>
      <c r="O178" s="6" t="inlineStr">
        <is>
          <t>Not wired to any flow</t>
        </is>
      </c>
      <c r="P178" s="13" t="inlineStr">
        <is>
          <t>RETIRED</t>
        </is>
      </c>
      <c r="Q178" s="6" t="inlineStr">
        <is>
          <t>F7: kept beside the catalogue against the 2026-10-03 one-source decision. Live equivalent: NOKEY.status-withdrawn / WRITEBACK.citizen-withdraw.</t>
        </is>
      </c>
      <c r="R178" s="6" t="inlineStr">
        <is>
          <t>Mark superseded (or archive) and keep the catalogue as the one source.</t>
        </is>
      </c>
      <c r="S178" s="8" t="n"/>
      <c r="T178" s="9" t="n"/>
      <c r="U178" s="8" t="n"/>
    </row>
    <row r="179">
      <c r="A179" s="6" t="inlineStr">
        <is>
          <t>TR-142</t>
        </is>
      </c>
      <c r="B179" s="6" t="inlineStr">
        <is>
          <t>Old library (unwired)</t>
        </is>
      </c>
      <c r="C179" s="6" t="inlineStr">
        <is>
          <t>Document Portal</t>
        </is>
      </c>
      <c r="D179" s="6" t="inlineStr">
        <is>
          <t>nitda-dp-07-support-case-acknowledged — Helpdesk Case Acknowledged</t>
        </is>
      </c>
      <c r="E179" s="6" t="n"/>
      <c r="F179" s="6" t="n"/>
      <c r="G179" s="6" t="inlineStr">
        <is>
          <t>SUPPORT flow returns a CASE- reference.</t>
        </is>
      </c>
      <c r="H179" s="6" t="n"/>
      <c r="I179" s="6" t="n"/>
      <c r="J179" s="6" t="n"/>
      <c r="K179" s="6" t="inlineStr">
        <is>
          <t>deployment/notification-instrument/email-templates/deploy/nitda-dp-07-support-case-acknowledged.html</t>
        </is>
      </c>
      <c r="L179" s="6" t="inlineStr">
        <is>
          <t>No</t>
        </is>
      </c>
      <c r="M179" s="6" t="inlineStr">
        <is>
          <t>No</t>
        </is>
      </c>
      <c r="N179" s="6" t="n"/>
      <c r="O179" s="6" t="inlineStr">
        <is>
          <t>Not wired to any flow</t>
        </is>
      </c>
      <c r="P179" s="13" t="inlineStr">
        <is>
          <t>RETIRED</t>
        </is>
      </c>
      <c r="Q179" s="6" t="inlineStr">
        <is>
          <t>F7: kept beside the catalogue against the 2026-10-03 one-source decision. Live equivalent: SUPPORT.support-acknowledgement.</t>
        </is>
      </c>
      <c r="R179" s="6" t="inlineStr">
        <is>
          <t>Mark superseded (or archive) and keep the catalogue as the one source.</t>
        </is>
      </c>
      <c r="S179" s="8" t="n"/>
      <c r="T179" s="9" t="n"/>
      <c r="U179" s="8" t="n"/>
    </row>
    <row r="180">
      <c r="A180" s="6" t="inlineStr">
        <is>
          <t>TR-151</t>
        </is>
      </c>
      <c r="B180" s="6" t="inlineStr">
        <is>
          <t>Retired flow</t>
        </is>
      </c>
      <c r="C180" s="6" t="inlineStr">
        <is>
          <t>Flow estate</t>
        </is>
      </c>
      <c r="D180" s="6" t="inlineStr">
        <is>
          <t>Any e-mail this flow sends</t>
        </is>
      </c>
      <c r="E180" s="6" t="inlineStr">
        <is>
          <t>01 - GOV - Provision HTTP Flow Registry</t>
        </is>
      </c>
      <c r="F180" s="6" t="inlineStr">
        <is>
          <t>30e04477…</t>
        </is>
      </c>
      <c r="G180" s="6" t="inlineStr">
        <is>
          <t>duplicate: an earlier copy of the governance flow the tenant runs</t>
        </is>
      </c>
      <c r="H180" s="6" t="n"/>
      <c r="I180" s="6" t="n"/>
      <c r="J180" s="6" t="n"/>
      <c r="K180" s="6" t="inlineStr">
        <is>
          <t>retired (registers/flow-adoption.json)</t>
        </is>
      </c>
      <c r="L180" s="6" t="inlineStr">
        <is>
          <t>No</t>
        </is>
      </c>
      <c r="M180" s="6" t="n"/>
      <c r="N180" s="6" t="n"/>
      <c r="O180" s="6" t="inlineStr">
        <is>
          <t>Turned off (owner, 6 October 2026)</t>
        </is>
      </c>
      <c r="P180" s="13" t="inlineStr">
        <is>
          <t>RETIRED</t>
        </is>
      </c>
      <c r="Q180" s="6" t="inlineStr">
        <is>
          <t>Successor: 01 - GOV - Provision HTTP Flow Registry. Delete from 2026-10-20.</t>
        </is>
      </c>
      <c r="R180" s="6" t="inlineStr">
        <is>
          <t>If it is in the tenant: turn it off, then delete it once its run history shows no call for 14 days.</t>
        </is>
      </c>
      <c r="S180" s="8" t="n"/>
      <c r="T180" s="9" t="n"/>
      <c r="U180" s="8" t="n"/>
    </row>
    <row r="181">
      <c r="A181" s="6" t="inlineStr">
        <is>
          <t>TR-152</t>
        </is>
      </c>
      <c r="B181" s="6" t="inlineStr">
        <is>
          <t>Retired flow</t>
        </is>
      </c>
      <c r="C181" s="6" t="inlineStr">
        <is>
          <t>Flow estate</t>
        </is>
      </c>
      <c r="D181" s="6" t="inlineStr">
        <is>
          <t>Any e-mail this flow sends</t>
        </is>
      </c>
      <c r="E181" s="6" t="inlineStr">
        <is>
          <t>02 - GOV - Register HTTP Flow Truth</t>
        </is>
      </c>
      <c r="F181" s="6" t="inlineStr">
        <is>
          <t>a45cec1b…</t>
        </is>
      </c>
      <c r="G181" s="6" t="inlineStr">
        <is>
          <t>duplicate: an earlier copy of the governance flow the tenant runs</t>
        </is>
      </c>
      <c r="H181" s="6" t="n"/>
      <c r="I181" s="6" t="n"/>
      <c r="J181" s="6" t="n"/>
      <c r="K181" s="6" t="inlineStr">
        <is>
          <t>retired (registers/flow-adoption.json)</t>
        </is>
      </c>
      <c r="L181" s="6" t="inlineStr">
        <is>
          <t>No</t>
        </is>
      </c>
      <c r="M181" s="6" t="n"/>
      <c r="N181" s="6" t="n"/>
      <c r="O181" s="6" t="inlineStr">
        <is>
          <t>Turned off (owner, 6 October 2026)</t>
        </is>
      </c>
      <c r="P181" s="13" t="inlineStr">
        <is>
          <t>RETIRED</t>
        </is>
      </c>
      <c r="Q181" s="6" t="inlineStr">
        <is>
          <t>Successor: 02 - GOV - Register HTTP Flow Truth. Delete from 2026-10-20.</t>
        </is>
      </c>
      <c r="R181" s="6" t="inlineStr">
        <is>
          <t>If it is in the tenant: turn it off, then delete it once its run history shows no call for 14 days.</t>
        </is>
      </c>
      <c r="S181" s="8" t="n"/>
      <c r="T181" s="9" t="n"/>
      <c r="U181" s="8" t="n"/>
    </row>
    <row r="182">
      <c r="A182" s="6" t="inlineStr">
        <is>
          <t>TR-153</t>
        </is>
      </c>
      <c r="B182" s="6" t="inlineStr">
        <is>
          <t>Retired flow</t>
        </is>
      </c>
      <c r="C182" s="6" t="inlineStr">
        <is>
          <t>Flow estate</t>
        </is>
      </c>
      <c r="D182" s="6" t="inlineStr">
        <is>
          <t>Any e-mail this flow sends</t>
        </is>
      </c>
      <c r="E182" s="6" t="inlineStr">
        <is>
          <t>03 - GOV - Record HTTP Flow Execution</t>
        </is>
      </c>
      <c r="F182" s="6" t="inlineStr">
        <is>
          <t>c6e573d8…</t>
        </is>
      </c>
      <c r="G182" s="6" t="inlineStr">
        <is>
          <t>duplicate: an earlier copy of the governance flow the tenant runs</t>
        </is>
      </c>
      <c r="H182" s="6" t="n"/>
      <c r="I182" s="6" t="n"/>
      <c r="J182" s="6" t="n"/>
      <c r="K182" s="6" t="inlineStr">
        <is>
          <t>retired (registers/flow-adoption.json)</t>
        </is>
      </c>
      <c r="L182" s="6" t="inlineStr">
        <is>
          <t>No</t>
        </is>
      </c>
      <c r="M182" s="6" t="n"/>
      <c r="N182" s="6" t="n"/>
      <c r="O182" s="6" t="inlineStr">
        <is>
          <t>Turned off (owner, 6 October 2026)</t>
        </is>
      </c>
      <c r="P182" s="13" t="inlineStr">
        <is>
          <t>RETIRED</t>
        </is>
      </c>
      <c r="Q182" s="6" t="inlineStr">
        <is>
          <t>Successor: 03 - GOV - Record HTTP Flow Execution. Delete from 2026-10-20.</t>
        </is>
      </c>
      <c r="R182" s="6" t="inlineStr">
        <is>
          <t>If it is in the tenant: turn it off, then delete it once its run history shows no call for 14 days.</t>
        </is>
      </c>
      <c r="S182" s="8" t="n"/>
      <c r="T182" s="9" t="n"/>
      <c r="U182" s="8" t="n"/>
    </row>
    <row r="183">
      <c r="A183" s="6" t="inlineStr">
        <is>
          <t>TR-154</t>
        </is>
      </c>
      <c r="B183" s="6" t="inlineStr">
        <is>
          <t>Retired flow</t>
        </is>
      </c>
      <c r="C183" s="6" t="inlineStr">
        <is>
          <t>Flow estate</t>
        </is>
      </c>
      <c r="D183" s="6" t="inlineStr">
        <is>
          <t>Any e-mail this flow sends</t>
        </is>
      </c>
      <c r="E183" s="6" t="inlineStr">
        <is>
          <t>04 - GOV - Audit HTTP Flow Registry Flow Update</t>
        </is>
      </c>
      <c r="F183" s="6" t="inlineStr">
        <is>
          <t>a52c5119…</t>
        </is>
      </c>
      <c r="G183" s="6" t="inlineStr">
        <is>
          <t>duplicate: an earlier copy of the governance flow the tenant runs</t>
        </is>
      </c>
      <c r="H183" s="6" t="n"/>
      <c r="I183" s="6" t="n"/>
      <c r="J183" s="6" t="n"/>
      <c r="K183" s="6" t="inlineStr">
        <is>
          <t>retired (registers/flow-adoption.json)</t>
        </is>
      </c>
      <c r="L183" s="6" t="inlineStr">
        <is>
          <t>No</t>
        </is>
      </c>
      <c r="M183" s="6" t="n"/>
      <c r="N183" s="6" t="n"/>
      <c r="O183" s="6" t="inlineStr">
        <is>
          <t>Turned off (owner, 6 October 2026)</t>
        </is>
      </c>
      <c r="P183" s="13" t="inlineStr">
        <is>
          <t>RETIRED</t>
        </is>
      </c>
      <c r="Q183" s="6" t="inlineStr">
        <is>
          <t>Successor: 04 - GOV - Audit HTTP Flow Registry. Delete from 2026-10-20.</t>
        </is>
      </c>
      <c r="R183" s="6" t="inlineStr">
        <is>
          <t>If it is in the tenant: turn it off, then delete it once its run history shows no call for 14 days.</t>
        </is>
      </c>
      <c r="S183" s="8" t="n"/>
      <c r="T183" s="9" t="n"/>
      <c r="U183" s="8" t="n"/>
    </row>
    <row r="184">
      <c r="A184" s="6" t="inlineStr">
        <is>
          <t>TR-155</t>
        </is>
      </c>
      <c r="B184" s="6" t="inlineStr">
        <is>
          <t>Retired flow</t>
        </is>
      </c>
      <c r="C184" s="6" t="inlineStr">
        <is>
          <t>Flow estate</t>
        </is>
      </c>
      <c r="D184" s="6" t="inlineStr">
        <is>
          <t>Any e-mail this flow sends</t>
        </is>
      </c>
      <c r="E184" s="6" t="inlineStr">
        <is>
          <t>05 - GOV - Retire HTTP Flow</t>
        </is>
      </c>
      <c r="F184" s="6" t="inlineStr">
        <is>
          <t>eb5450b3…</t>
        </is>
      </c>
      <c r="G184" s="6" t="inlineStr">
        <is>
          <t>duplicate: an earlier copy of the governance flow the tenant runs</t>
        </is>
      </c>
      <c r="H184" s="6" t="n"/>
      <c r="I184" s="6" t="n"/>
      <c r="J184" s="6" t="n"/>
      <c r="K184" s="6" t="inlineStr">
        <is>
          <t>retired (registers/flow-adoption.json)</t>
        </is>
      </c>
      <c r="L184" s="6" t="inlineStr">
        <is>
          <t>No</t>
        </is>
      </c>
      <c r="M184" s="6" t="n"/>
      <c r="N184" s="6" t="n"/>
      <c r="O184" s="6" t="inlineStr">
        <is>
          <t>Turned off (owner, 6 October 2026)</t>
        </is>
      </c>
      <c r="P184" s="13" t="inlineStr">
        <is>
          <t>RETIRED</t>
        </is>
      </c>
      <c r="Q184" s="6" t="inlineStr">
        <is>
          <t>Successor: 05 - GOV - Retire HTTP Flow. Delete from 2026-10-20.</t>
        </is>
      </c>
      <c r="R184" s="6" t="inlineStr">
        <is>
          <t>If it is in the tenant: turn it off, then delete it once its run history shows no call for 14 days.</t>
        </is>
      </c>
      <c r="S184" s="8" t="n"/>
      <c r="T184" s="9" t="n"/>
      <c r="U184" s="8" t="n"/>
    </row>
    <row r="185">
      <c r="A185" s="6" t="inlineStr">
        <is>
          <t>TR-156</t>
        </is>
      </c>
      <c r="B185" s="6" t="inlineStr">
        <is>
          <t>Retired flow</t>
        </is>
      </c>
      <c r="C185" s="6" t="inlineStr">
        <is>
          <t>Flow estate</t>
        </is>
      </c>
      <c r="D185" s="6" t="inlineStr">
        <is>
          <t>Any e-mail this flow sends</t>
        </is>
      </c>
      <c r="E185" s="6" t="inlineStr">
        <is>
          <t>06 - GOV - Registry Exception</t>
        </is>
      </c>
      <c r="F185" s="6" t="inlineStr">
        <is>
          <t>befc43d2…</t>
        </is>
      </c>
      <c r="G185" s="6" t="inlineStr">
        <is>
          <t>duplicate: an earlier copy of the governance flow the tenant runs</t>
        </is>
      </c>
      <c r="H185" s="6" t="n"/>
      <c r="I185" s="6" t="n"/>
      <c r="J185" s="6" t="n"/>
      <c r="K185" s="6" t="inlineStr">
        <is>
          <t>retired (registers/flow-adoption.json)</t>
        </is>
      </c>
      <c r="L185" s="6" t="inlineStr">
        <is>
          <t>No</t>
        </is>
      </c>
      <c r="M185" s="6" t="n"/>
      <c r="N185" s="6" t="n"/>
      <c r="O185" s="6" t="inlineStr">
        <is>
          <t>Turned off (owner, 6 October 2026)</t>
        </is>
      </c>
      <c r="P185" s="13" t="inlineStr">
        <is>
          <t>RETIRED</t>
        </is>
      </c>
      <c r="Q185" s="6" t="inlineStr">
        <is>
          <t>Successor: 06 - GOV - Registry Exception Notification. Delete from 2026-10-20.</t>
        </is>
      </c>
      <c r="R185" s="6" t="inlineStr">
        <is>
          <t>If it is in the tenant: turn it off, then delete it once its run history shows no call for 14 days.</t>
        </is>
      </c>
      <c r="S185" s="8" t="n"/>
      <c r="T185" s="9" t="n"/>
      <c r="U185" s="8" t="n"/>
    </row>
    <row r="186">
      <c r="A186" s="6" t="inlineStr">
        <is>
          <t>TR-157</t>
        </is>
      </c>
      <c r="B186" s="6" t="inlineStr">
        <is>
          <t>Retired flow</t>
        </is>
      </c>
      <c r="C186" s="6" t="inlineStr">
        <is>
          <t>Flow estate</t>
        </is>
      </c>
      <c r="D186" s="6" t="inlineStr">
        <is>
          <t>Any e-mail this flow sends</t>
        </is>
      </c>
      <c r="E186" s="6" t="inlineStr">
        <is>
          <t>07 - GOV - Consumer HTTP Self-Registration Template</t>
        </is>
      </c>
      <c r="F186" s="6" t="inlineStr">
        <is>
          <t>9ec66366…</t>
        </is>
      </c>
      <c r="G186" s="6" t="inlineStr">
        <is>
          <t>duplicate: an earlier copy of the governance flow the tenant runs</t>
        </is>
      </c>
      <c r="H186" s="6" t="n"/>
      <c r="I186" s="6" t="n"/>
      <c r="J186" s="6" t="n"/>
      <c r="K186" s="6" t="inlineStr">
        <is>
          <t>retired (registers/flow-adoption.json)</t>
        </is>
      </c>
      <c r="L186" s="6" t="inlineStr">
        <is>
          <t>No</t>
        </is>
      </c>
      <c r="M186" s="6" t="n"/>
      <c r="N186" s="6" t="n"/>
      <c r="O186" s="6" t="inlineStr">
        <is>
          <t>Turned off (owner, 6 October 2026)</t>
        </is>
      </c>
      <c r="P186" s="13" t="inlineStr">
        <is>
          <t>RETIRED</t>
        </is>
      </c>
      <c r="Q186" s="6" t="inlineStr">
        <is>
          <t>Successor: 07 - GOV - Consumer HTTP Self-Registration Template. Delete from 2026-10-20.</t>
        </is>
      </c>
      <c r="R186" s="6" t="inlineStr">
        <is>
          <t>If it is in the tenant: turn it off, then delete it once its run history shows no call for 14 days.</t>
        </is>
      </c>
      <c r="S186" s="8" t="n"/>
      <c r="T186" s="9" t="n"/>
      <c r="U186" s="8" t="n"/>
    </row>
    <row r="187">
      <c r="A187" s="6" t="inlineStr">
        <is>
          <t>TR-158</t>
        </is>
      </c>
      <c r="B187" s="6" t="inlineStr">
        <is>
          <t>Retired flow</t>
        </is>
      </c>
      <c r="C187" s="6" t="inlineStr">
        <is>
          <t>Flow estate</t>
        </is>
      </c>
      <c r="D187" s="6" t="inlineStr">
        <is>
          <t>Any e-mail this flow sends</t>
        </is>
      </c>
      <c r="E187" s="6" t="inlineStr">
        <is>
          <t>08 - GOV - Discover and Register HTTP Consumers</t>
        </is>
      </c>
      <c r="F187" s="6" t="inlineStr">
        <is>
          <t>5c9080fb…</t>
        </is>
      </c>
      <c r="G187" s="6" t="inlineStr">
        <is>
          <t>duplicate: an earlier copy of the governance flow the tenant runs</t>
        </is>
      </c>
      <c r="H187" s="6" t="n"/>
      <c r="I187" s="6" t="n"/>
      <c r="J187" s="6" t="n"/>
      <c r="K187" s="6" t="inlineStr">
        <is>
          <t>retired (registers/flow-adoption.json)</t>
        </is>
      </c>
      <c r="L187" s="6" t="inlineStr">
        <is>
          <t>No</t>
        </is>
      </c>
      <c r="M187" s="6" t="n"/>
      <c r="N187" s="6" t="n"/>
      <c r="O187" s="6" t="inlineStr">
        <is>
          <t>Turned off (owner, 6 October 2026)</t>
        </is>
      </c>
      <c r="P187" s="13" t="inlineStr">
        <is>
          <t>RETIRED</t>
        </is>
      </c>
      <c r="Q187" s="6" t="inlineStr">
        <is>
          <t>Successor: 08 - GOV - Discover and Register HTTP Consumers. Delete from 2026-10-20.</t>
        </is>
      </c>
      <c r="R187" s="6" t="inlineStr">
        <is>
          <t>If it is in the tenant: turn it off, then delete it once its run history shows no call for 14 days.</t>
        </is>
      </c>
      <c r="S187" s="8" t="n"/>
      <c r="T187" s="9" t="n"/>
      <c r="U187" s="8" t="n"/>
    </row>
    <row r="188">
      <c r="A188" s="6" t="inlineStr">
        <is>
          <t>TR-159</t>
        </is>
      </c>
      <c r="B188" s="6" t="inlineStr">
        <is>
          <t>Retired flow</t>
        </is>
      </c>
      <c r="C188" s="6" t="inlineStr">
        <is>
          <t>Flow estate</t>
        </is>
      </c>
      <c r="D188" s="6" t="inlineStr">
        <is>
          <t>Any e-mail this flow sends</t>
        </is>
      </c>
      <c r="E188" s="6" t="inlineStr">
        <is>
          <t>AUTO_SCHEDULED_SWEEP (2026-08 copy)</t>
        </is>
      </c>
      <c r="F188" s="6" t="inlineStr">
        <is>
          <t>1cb48715…</t>
        </is>
      </c>
      <c r="G188" s="6" t="inlineStr">
        <is>
          <t>duplicate: an earlier copy</t>
        </is>
      </c>
      <c r="H188" s="6" t="n"/>
      <c r="I188" s="6" t="n"/>
      <c r="J188" s="6" t="n"/>
      <c r="K188" s="6" t="inlineStr">
        <is>
          <t>retired (registers/flow-adoption.json)</t>
        </is>
      </c>
      <c r="L188" s="6" t="inlineStr">
        <is>
          <t>No</t>
        </is>
      </c>
      <c r="M188" s="6" t="n"/>
      <c r="N188" s="6" t="n"/>
      <c r="O188" s="6" t="inlineStr">
        <is>
          <t>Turned off (owner, 6 October 2026)</t>
        </is>
      </c>
      <c r="P188" s="13" t="inlineStr">
        <is>
          <t>RETIRED</t>
        </is>
      </c>
      <c r="Q188" s="6" t="inlineStr">
        <is>
          <t>Successor: AUTO_SCHEDULED_SWEEP. Delete from 2026-10-20.</t>
        </is>
      </c>
      <c r="R188" s="6" t="inlineStr">
        <is>
          <t>If it is in the tenant: turn it off, then delete it once its run history shows no call for 14 days.</t>
        </is>
      </c>
      <c r="S188" s="8" t="n"/>
      <c r="T188" s="9" t="n"/>
      <c r="U188" s="8" t="n"/>
    </row>
    <row r="189">
      <c r="A189" s="6" t="inlineStr">
        <is>
          <t>TR-160</t>
        </is>
      </c>
      <c r="B189" s="6" t="inlineStr">
        <is>
          <t>Retired flow</t>
        </is>
      </c>
      <c r="C189" s="6" t="inlineStr">
        <is>
          <t>Flow estate</t>
        </is>
      </c>
      <c r="D189" s="6" t="inlineStr">
        <is>
          <t>Any e-mail this flow sends</t>
        </is>
      </c>
      <c r="E189" s="6" t="inlineStr">
        <is>
          <t>CG_Status_Check_Endpoint / Portal_Status_Enquiry</t>
        </is>
      </c>
      <c r="F189" s="6" t="inlineStr">
        <is>
          <t>badb65d8…</t>
        </is>
      </c>
      <c r="G189" s="6" t="inlineStr">
        <is>
          <t>duplicate: superseded portal status flow</t>
        </is>
      </c>
      <c r="H189" s="6" t="n"/>
      <c r="I189" s="6" t="n"/>
      <c r="J189" s="6" t="n"/>
      <c r="K189" s="6" t="inlineStr">
        <is>
          <t>retired (registers/flow-adoption.json)</t>
        </is>
      </c>
      <c r="L189" s="6" t="inlineStr">
        <is>
          <t>No</t>
        </is>
      </c>
      <c r="M189" s="6" t="n"/>
      <c r="N189" s="6" t="n"/>
      <c r="O189" s="6" t="inlineStr">
        <is>
          <t>Turned off (owner, 6 October 2026)</t>
        </is>
      </c>
      <c r="P189" s="13" t="inlineStr">
        <is>
          <t>RETIRED</t>
        </is>
      </c>
      <c r="Q189" s="6" t="inlineStr">
        <is>
          <t>Successor: CG_Portal_Status_Check_Endpoint. Delete from 2026-10-20.</t>
        </is>
      </c>
      <c r="R189" s="6" t="inlineStr">
        <is>
          <t>If it is in the tenant: turn it off, then delete it once its run history shows no call for 14 days.</t>
        </is>
      </c>
      <c r="S189" s="8" t="n"/>
      <c r="T189" s="9" t="n"/>
      <c r="U189" s="8" t="n"/>
    </row>
    <row r="190">
      <c r="A190" s="6" t="inlineStr">
        <is>
          <t>TR-161</t>
        </is>
      </c>
      <c r="B190" s="6" t="inlineStr">
        <is>
          <t>Retired flow</t>
        </is>
      </c>
      <c r="C190" s="6" t="inlineStr">
        <is>
          <t>Flow estate</t>
        </is>
      </c>
      <c r="D190" s="6" t="inlineStr">
        <is>
          <t>Any e-mail this flow sends</t>
        </is>
      </c>
      <c r="E190" s="6" t="inlineStr">
        <is>
          <t>Portal_ECM_DOCS_STATUS</t>
        </is>
      </c>
      <c r="F190" s="6" t="inlineStr">
        <is>
          <t>e21e7b9f…</t>
        </is>
      </c>
      <c r="G190" s="6" t="inlineStr">
        <is>
          <t>superseded portal status flow</t>
        </is>
      </c>
      <c r="H190" s="6" t="n"/>
      <c r="I190" s="6" t="n"/>
      <c r="J190" s="6" t="n"/>
      <c r="K190" s="6" t="inlineStr">
        <is>
          <t>retired (registers/flow-adoption.json)</t>
        </is>
      </c>
      <c r="L190" s="6" t="inlineStr">
        <is>
          <t>No</t>
        </is>
      </c>
      <c r="M190" s="6" t="n"/>
      <c r="N190" s="6" t="n"/>
      <c r="O190" s="6" t="inlineStr">
        <is>
          <t>Turned off (owner, 6 October 2026)</t>
        </is>
      </c>
      <c r="P190" s="13" t="inlineStr">
        <is>
          <t>RETIRED</t>
        </is>
      </c>
      <c r="Q190" s="6" t="inlineStr">
        <is>
          <t>Successor: CG_Portal_Status_Check_Endpoint. Delete from 2026-10-20.</t>
        </is>
      </c>
      <c r="R190" s="6" t="inlineStr">
        <is>
          <t>If it is in the tenant: turn it off, then delete it once its run history shows no call for 14 days.</t>
        </is>
      </c>
      <c r="S190" s="8" t="n"/>
      <c r="T190" s="9" t="n"/>
      <c r="U190" s="8" t="n"/>
    </row>
    <row r="191">
      <c r="A191" s="6" t="inlineStr">
        <is>
          <t>TR-162</t>
        </is>
      </c>
      <c r="B191" s="6" t="inlineStr">
        <is>
          <t>Retired flow</t>
        </is>
      </c>
      <c r="C191" s="6" t="inlineStr">
        <is>
          <t>Flow estate</t>
        </is>
      </c>
      <c r="D191" s="6" t="inlineStr">
        <is>
          <t>Any e-mail this flow sends</t>
        </is>
      </c>
      <c r="E191" s="6" t="inlineStr">
        <is>
          <t>CG_Support_Endpoint / Portal_ECM_DOCS_SUPPORT</t>
        </is>
      </c>
      <c r="F191" s="6" t="inlineStr">
        <is>
          <t>1b2c2e53…</t>
        </is>
      </c>
      <c r="G191" s="6" t="inlineStr">
        <is>
          <t>duplicate: superseded portal support flow</t>
        </is>
      </c>
      <c r="H191" s="6" t="n"/>
      <c r="I191" s="6" t="n"/>
      <c r="J191" s="6" t="n"/>
      <c r="K191" s="6" t="inlineStr">
        <is>
          <t>retired (registers/flow-adoption.json)</t>
        </is>
      </c>
      <c r="L191" s="6" t="inlineStr">
        <is>
          <t>No</t>
        </is>
      </c>
      <c r="M191" s="6" t="n"/>
      <c r="N191" s="6" t="n"/>
      <c r="O191" s="6" t="inlineStr">
        <is>
          <t>Turned off (owner, 6 October 2026)</t>
        </is>
      </c>
      <c r="P191" s="13" t="inlineStr">
        <is>
          <t>RETIRED</t>
        </is>
      </c>
      <c r="Q191" s="6" t="inlineStr">
        <is>
          <t>Successor: CG_Portal_Support_Endpoint. Delete from 2026-10-20.</t>
        </is>
      </c>
      <c r="R191" s="6" t="inlineStr">
        <is>
          <t>If it is in the tenant: turn it off, then delete it once its run history shows no call for 14 days.</t>
        </is>
      </c>
      <c r="S191" s="8" t="n"/>
      <c r="T191" s="9" t="n"/>
      <c r="U191" s="8" t="n"/>
    </row>
    <row r="192">
      <c r="A192" s="6" t="inlineStr">
        <is>
          <t>TR-163</t>
        </is>
      </c>
      <c r="B192" s="6" t="inlineStr">
        <is>
          <t>Retired flow</t>
        </is>
      </c>
      <c r="C192" s="6" t="inlineStr">
        <is>
          <t>Flow estate</t>
        </is>
      </c>
      <c r="D192" s="6" t="inlineStr">
        <is>
          <t>Any e-mail this flow sends</t>
        </is>
      </c>
      <c r="E192" s="6" t="inlineStr">
        <is>
          <t>CG_Writeback_Endpoint</t>
        </is>
      </c>
      <c r="F192" s="6" t="inlineStr">
        <is>
          <t>21d4bfd3…</t>
        </is>
      </c>
      <c r="G192" s="6" t="inlineStr">
        <is>
          <t>duplicate: superseded portal write-back flow</t>
        </is>
      </c>
      <c r="H192" s="6" t="n"/>
      <c r="I192" s="6" t="n"/>
      <c r="J192" s="6" t="n"/>
      <c r="K192" s="6" t="inlineStr">
        <is>
          <t>retired (registers/flow-adoption.json)</t>
        </is>
      </c>
      <c r="L192" s="6" t="inlineStr">
        <is>
          <t>No</t>
        </is>
      </c>
      <c r="M192" s="6" t="n"/>
      <c r="N192" s="6" t="n"/>
      <c r="O192" s="6" t="inlineStr">
        <is>
          <t>Turned off (owner, 6 October 2026)</t>
        </is>
      </c>
      <c r="P192" s="13" t="inlineStr">
        <is>
          <t>RETIRED</t>
        </is>
      </c>
      <c r="Q192" s="6" t="inlineStr">
        <is>
          <t>Successor: CG_Portal_Writeback_Endpoint. Delete from 2026-10-20.</t>
        </is>
      </c>
      <c r="R192" s="6" t="inlineStr">
        <is>
          <t>If it is in the tenant: turn it off, then delete it once its run history shows no call for 14 days.</t>
        </is>
      </c>
      <c r="S192" s="8" t="n"/>
      <c r="T192" s="9" t="n"/>
      <c r="U192" s="8" t="n"/>
    </row>
    <row r="193">
      <c r="A193" s="6" t="inlineStr">
        <is>
          <t>TR-164</t>
        </is>
      </c>
      <c r="B193" s="6" t="inlineStr">
        <is>
          <t>Retired flow</t>
        </is>
      </c>
      <c r="C193" s="6" t="inlineStr">
        <is>
          <t>Flow estate</t>
        </is>
      </c>
      <c r="D193" s="6" t="inlineStr">
        <is>
          <t>Any e-mail this flow sends</t>
        </is>
      </c>
      <c r="E193" s="6" t="inlineStr">
        <is>
          <t>CG_Verification_Confirmation_Endpoint</t>
        </is>
      </c>
      <c r="F193" s="6" t="inlineStr">
        <is>
          <t>5e13db77…</t>
        </is>
      </c>
      <c r="G193" s="6" t="inlineStr">
        <is>
          <t>duplicate: superseded portal confirmation flow</t>
        </is>
      </c>
      <c r="H193" s="6" t="n"/>
      <c r="I193" s="6" t="n"/>
      <c r="J193" s="6" t="n"/>
      <c r="K193" s="6" t="inlineStr">
        <is>
          <t>retired (registers/flow-adoption.json)</t>
        </is>
      </c>
      <c r="L193" s="6" t="inlineStr">
        <is>
          <t>No</t>
        </is>
      </c>
      <c r="M193" s="6" t="n"/>
      <c r="N193" s="6" t="n"/>
      <c r="O193" s="6" t="inlineStr">
        <is>
          <t>Turned off (owner, 6 October 2026)</t>
        </is>
      </c>
      <c r="P193" s="13" t="inlineStr">
        <is>
          <t>RETIRED</t>
        </is>
      </c>
      <c r="Q193" s="6" t="inlineStr">
        <is>
          <t>Successor: CG_Portal_Verification_Confirmation_Endpoint. Delete from 2026-10-20.</t>
        </is>
      </c>
      <c r="R193" s="6" t="inlineStr">
        <is>
          <t>If it is in the tenant: turn it off, then delete it once its run history shows no call for 14 days.</t>
        </is>
      </c>
      <c r="S193" s="8" t="n"/>
      <c r="T193" s="9" t="n"/>
      <c r="U193" s="8" t="n"/>
    </row>
    <row r="194">
      <c r="A194" s="6" t="inlineStr">
        <is>
          <t>TR-165</t>
        </is>
      </c>
      <c r="B194" s="6" t="inlineStr">
        <is>
          <t>Retired flow</t>
        </is>
      </c>
      <c r="C194" s="6" t="inlineStr">
        <is>
          <t>Flow estate</t>
        </is>
      </c>
      <c r="D194" s="6" t="inlineStr">
        <is>
          <t>Any e-mail this flow sends</t>
        </is>
      </c>
      <c r="E194" s="6" t="inlineStr">
        <is>
          <t>Portal_Verify_Confirm</t>
        </is>
      </c>
      <c r="F194" s="6" t="inlineStr">
        <is>
          <t>3b69aa71…</t>
        </is>
      </c>
      <c r="G194" s="6" t="inlineStr">
        <is>
          <t>superseded portal confirmation flow</t>
        </is>
      </c>
      <c r="H194" s="6" t="n"/>
      <c r="I194" s="6" t="n"/>
      <c r="J194" s="6" t="n"/>
      <c r="K194" s="6" t="inlineStr">
        <is>
          <t>retired (registers/flow-adoption.json)</t>
        </is>
      </c>
      <c r="L194" s="6" t="inlineStr">
        <is>
          <t>No</t>
        </is>
      </c>
      <c r="M194" s="6" t="n"/>
      <c r="N194" s="6" t="n"/>
      <c r="O194" s="6" t="inlineStr">
        <is>
          <t>Turned off (owner, 6 October 2026)</t>
        </is>
      </c>
      <c r="P194" s="13" t="inlineStr">
        <is>
          <t>RETIRED</t>
        </is>
      </c>
      <c r="Q194" s="6" t="inlineStr">
        <is>
          <t>Successor: CG_Portal_Verification_Confirmation_Endpoint. Delete from 2026-10-20.</t>
        </is>
      </c>
      <c r="R194" s="6" t="inlineStr">
        <is>
          <t>If it is in the tenant: turn it off, then delete it once its run history shows no call for 14 days.</t>
        </is>
      </c>
      <c r="S194" s="8" t="n"/>
      <c r="T194" s="9" t="n"/>
      <c r="U194" s="8" t="n"/>
    </row>
    <row r="195">
      <c r="A195" s="6" t="inlineStr">
        <is>
          <t>TR-166</t>
        </is>
      </c>
      <c r="B195" s="6" t="inlineStr">
        <is>
          <t>Retired flow</t>
        </is>
      </c>
      <c r="C195" s="6" t="inlineStr">
        <is>
          <t>Flow estate</t>
        </is>
      </c>
      <c r="D195" s="6" t="inlineStr">
        <is>
          <t>Any e-mail this flow sends</t>
        </is>
      </c>
      <c r="E195" s="6" t="inlineStr">
        <is>
          <t>CG_Verification_Endpoint / Portal_Verify</t>
        </is>
      </c>
      <c r="F195" s="6" t="inlineStr">
        <is>
          <t>86897b2f…</t>
        </is>
      </c>
      <c r="G195" s="6" t="inlineStr">
        <is>
          <t>duplicate: superseded portal verification flow</t>
        </is>
      </c>
      <c r="H195" s="6" t="n"/>
      <c r="I195" s="6" t="n"/>
      <c r="J195" s="6" t="n"/>
      <c r="K195" s="6" t="inlineStr">
        <is>
          <t>retired (registers/flow-adoption.json)</t>
        </is>
      </c>
      <c r="L195" s="6" t="inlineStr">
        <is>
          <t>No</t>
        </is>
      </c>
      <c r="M195" s="6" t="n"/>
      <c r="N195" s="6" t="n"/>
      <c r="O195" s="6" t="inlineStr">
        <is>
          <t>Turned off (owner, 6 October 2026)</t>
        </is>
      </c>
      <c r="P195" s="13" t="inlineStr">
        <is>
          <t>RETIRED</t>
        </is>
      </c>
      <c r="Q195" s="6" t="inlineStr">
        <is>
          <t>Successor: CG_Portal_Verification_Endpoint. Delete from 2026-10-20.</t>
        </is>
      </c>
      <c r="R195" s="6" t="inlineStr">
        <is>
          <t>If it is in the tenant: turn it off, then delete it once its run history shows no call for 14 days.</t>
        </is>
      </c>
      <c r="S195" s="8" t="n"/>
      <c r="T195" s="9" t="n"/>
      <c r="U195" s="8" t="n"/>
    </row>
    <row r="196">
      <c r="A196" s="6" t="inlineStr">
        <is>
          <t>TR-167</t>
        </is>
      </c>
      <c r="B196" s="6" t="inlineStr">
        <is>
          <t>Retired flow</t>
        </is>
      </c>
      <c r="C196" s="6" t="inlineStr">
        <is>
          <t>Flow estate</t>
        </is>
      </c>
      <c r="D196" s="6" t="inlineStr">
        <is>
          <t>Any e-mail this flow sends</t>
        </is>
      </c>
      <c r="E196" s="6" t="inlineStr">
        <is>
          <t>Portal_UBMISSION_ECM_DOCS</t>
        </is>
      </c>
      <c r="F196" s="6" t="inlineStr">
        <is>
          <t>270fb295…</t>
        </is>
      </c>
      <c r="G196" s="6" t="inlineStr">
        <is>
          <t>superseded portal submission flow</t>
        </is>
      </c>
      <c r="H196" s="6" t="n"/>
      <c r="I196" s="6" t="n"/>
      <c r="J196" s="6" t="n"/>
      <c r="K196" s="6" t="inlineStr">
        <is>
          <t>retired (registers/flow-adoption.json)</t>
        </is>
      </c>
      <c r="L196" s="6" t="inlineStr">
        <is>
          <t>No</t>
        </is>
      </c>
      <c r="M196" s="6" t="n"/>
      <c r="N196" s="6" t="n"/>
      <c r="O196" s="6" t="inlineStr">
        <is>
          <t>Turned off (owner, 6 October 2026)</t>
        </is>
      </c>
      <c r="P196" s="13" t="inlineStr">
        <is>
          <t>RETIRED</t>
        </is>
      </c>
      <c r="Q196" s="6" t="inlineStr">
        <is>
          <t>Successor: CG_Submission_Endpoint. Delete from 2026-10-20.</t>
        </is>
      </c>
      <c r="R196" s="6" t="inlineStr">
        <is>
          <t>If it is in the tenant: turn it off, then delete it once its run history shows no call for 14 days.</t>
        </is>
      </c>
      <c r="S196" s="8" t="n"/>
      <c r="T196" s="9" t="n"/>
      <c r="U196" s="8" t="n"/>
    </row>
    <row r="197">
      <c r="A197" s="6" t="inlineStr">
        <is>
          <t>TR-168</t>
        </is>
      </c>
      <c r="B197" s="6" t="inlineStr">
        <is>
          <t>Retired flow</t>
        </is>
      </c>
      <c r="C197" s="6" t="inlineStr">
        <is>
          <t>Flow estate</t>
        </is>
      </c>
      <c r="D197" s="6" t="inlineStr">
        <is>
          <t>Any e-mail this flow sends</t>
        </is>
      </c>
      <c r="E197" s="6" t="inlineStr">
        <is>
          <t>Portal_UPLOAD_ECM_DOCS</t>
        </is>
      </c>
      <c r="F197" s="6" t="inlineStr">
        <is>
          <t>ae4b2a44…</t>
        </is>
      </c>
      <c r="G197" s="6" t="inlineStr">
        <is>
          <t>superseded portal upload flow</t>
        </is>
      </c>
      <c r="H197" s="6" t="n"/>
      <c r="I197" s="6" t="n"/>
      <c r="J197" s="6" t="n"/>
      <c r="K197" s="6" t="inlineStr">
        <is>
          <t>retired (registers/flow-adoption.json)</t>
        </is>
      </c>
      <c r="L197" s="6" t="inlineStr">
        <is>
          <t>No</t>
        </is>
      </c>
      <c r="M197" s="6" t="n"/>
      <c r="N197" s="6" t="n"/>
      <c r="O197" s="6" t="inlineStr">
        <is>
          <t>Turned off (owner, 6 October 2026)</t>
        </is>
      </c>
      <c r="P197" s="13" t="inlineStr">
        <is>
          <t>RETIRED</t>
        </is>
      </c>
      <c r="Q197" s="6" t="inlineStr">
        <is>
          <t>Successor: CG_Upload_Endpoint. Delete from 2026-10-20.</t>
        </is>
      </c>
      <c r="R197" s="6" t="inlineStr">
        <is>
          <t>If it is in the tenant: turn it off, then delete it once its run history shows no call for 14 days.</t>
        </is>
      </c>
      <c r="S197" s="8" t="n"/>
      <c r="T197" s="9" t="n"/>
      <c r="U197" s="8" t="n"/>
    </row>
    <row r="198">
      <c r="A198" s="6" t="inlineStr">
        <is>
          <t>TR-169</t>
        </is>
      </c>
      <c r="B198" s="6" t="inlineStr">
        <is>
          <t>Retired flow</t>
        </is>
      </c>
      <c r="C198" s="6" t="inlineStr">
        <is>
          <t>Flow estate</t>
        </is>
      </c>
      <c r="D198" s="6" t="inlineStr">
        <is>
          <t>Any e-mail this flow sends</t>
        </is>
      </c>
      <c r="E198" s="6" t="inlineStr">
        <is>
          <t>Portal_Upload_HTTP</t>
        </is>
      </c>
      <c r="F198" s="6" t="inlineStr">
        <is>
          <t>39d65c5b…</t>
        </is>
      </c>
      <c r="G198" s="6" t="inlineStr">
        <is>
          <t>superseded portal upload flow</t>
        </is>
      </c>
      <c r="H198" s="6" t="n"/>
      <c r="I198" s="6" t="n"/>
      <c r="J198" s="6" t="n"/>
      <c r="K198" s="6" t="inlineStr">
        <is>
          <t>retired (registers/flow-adoption.json)</t>
        </is>
      </c>
      <c r="L198" s="6" t="inlineStr">
        <is>
          <t>No</t>
        </is>
      </c>
      <c r="M198" s="6" t="n"/>
      <c r="N198" s="6" t="n"/>
      <c r="O198" s="6" t="inlineStr">
        <is>
          <t>Turned off (owner, 6 October 2026)</t>
        </is>
      </c>
      <c r="P198" s="13" t="inlineStr">
        <is>
          <t>RETIRED</t>
        </is>
      </c>
      <c r="Q198" s="6" t="inlineStr">
        <is>
          <t>Successor: CG_Upload_Endpoint. Delete from 2026-10-20.</t>
        </is>
      </c>
      <c r="R198" s="6" t="inlineStr">
        <is>
          <t>If it is in the tenant: turn it off, then delete it once its run history shows no call for 14 days.</t>
        </is>
      </c>
      <c r="S198" s="8" t="n"/>
      <c r="T198" s="9" t="n"/>
      <c r="U198" s="8" t="n"/>
    </row>
    <row r="199">
      <c r="A199" s="6" t="inlineStr">
        <is>
          <t>TR-170</t>
        </is>
      </c>
      <c r="B199" s="6" t="inlineStr">
        <is>
          <t>Retired flow</t>
        </is>
      </c>
      <c r="C199" s="6" t="inlineStr">
        <is>
          <t>Flow estate</t>
        </is>
      </c>
      <c r="D199" s="6" t="inlineStr">
        <is>
          <t>Any e-mail this flow sends</t>
        </is>
      </c>
      <c r="E199" s="6" t="inlineStr">
        <is>
          <t>UPLOAD_ECM_DOCS_PORTAL</t>
        </is>
      </c>
      <c r="F199" s="6" t="inlineStr">
        <is>
          <t>9bd6724c…</t>
        </is>
      </c>
      <c r="G199" s="6" t="inlineStr">
        <is>
          <t>superseded portal upload flow</t>
        </is>
      </c>
      <c r="H199" s="6" t="n"/>
      <c r="I199" s="6" t="n"/>
      <c r="J199" s="6" t="n"/>
      <c r="K199" s="6" t="inlineStr">
        <is>
          <t>retired (registers/flow-adoption.json)</t>
        </is>
      </c>
      <c r="L199" s="6" t="inlineStr">
        <is>
          <t>No</t>
        </is>
      </c>
      <c r="M199" s="6" t="n"/>
      <c r="N199" s="6" t="n"/>
      <c r="O199" s="6" t="inlineStr">
        <is>
          <t>Turned off (owner, 6 October 2026)</t>
        </is>
      </c>
      <c r="P199" s="13" t="inlineStr">
        <is>
          <t>RETIRED</t>
        </is>
      </c>
      <c r="Q199" s="6" t="inlineStr">
        <is>
          <t>Successor: CG_Upload_Endpoint. Delete from 2026-10-20.</t>
        </is>
      </c>
      <c r="R199" s="6" t="inlineStr">
        <is>
          <t>If it is in the tenant: turn it off, then delete it once its run history shows no call for 14 days.</t>
        </is>
      </c>
      <c r="S199" s="8" t="n"/>
      <c r="T199" s="9" t="n"/>
      <c r="U199" s="8" t="n"/>
    </row>
    <row r="200">
      <c r="A200" s="6" t="inlineStr">
        <is>
          <t>TR-171</t>
        </is>
      </c>
      <c r="B200" s="6" t="inlineStr">
        <is>
          <t>Retired flow</t>
        </is>
      </c>
      <c r="C200" s="6" t="inlineStr">
        <is>
          <t>Flow estate</t>
        </is>
      </c>
      <c r="D200" s="6" t="inlineStr">
        <is>
          <t>Any e-mail this flow sends</t>
        </is>
      </c>
      <c r="E200" s="6" t="inlineStr">
        <is>
          <t>CG_SEND_EMAIL</t>
        </is>
      </c>
      <c r="F200" s="6" t="inlineStr">
        <is>
          <t>63a7f2d7…</t>
        </is>
      </c>
      <c r="G200" s="6" t="inlineStr">
        <is>
          <t>orphan: no contract key and no caller; mail is sent by IP_SEND_EMAIL and the Mailer</t>
        </is>
      </c>
      <c r="H200" s="6" t="n"/>
      <c r="I200" s="6" t="n"/>
      <c r="J200" s="6" t="n"/>
      <c r="K200" s="6" t="inlineStr">
        <is>
          <t>retired (registers/flow-adoption.json)</t>
        </is>
      </c>
      <c r="L200" s="6" t="inlineStr">
        <is>
          <t>No</t>
        </is>
      </c>
      <c r="M200" s="6" t="n"/>
      <c r="N200" s="6" t="n"/>
      <c r="O200" s="6" t="inlineStr">
        <is>
          <t>Turned off (owner, 6 October 2026)</t>
        </is>
      </c>
      <c r="P200" s="13" t="inlineStr">
        <is>
          <t>RETIRED</t>
        </is>
      </c>
      <c r="Q200" s="6" t="inlineStr">
        <is>
          <t>Successor: IP_SEND_EMAIL. Delete from 2026-10-20.</t>
        </is>
      </c>
      <c r="R200" s="6" t="inlineStr">
        <is>
          <t>If it is in the tenant: turn it off, then delete it once its run history shows no call for 14 days.</t>
        </is>
      </c>
      <c r="S200" s="8" t="n"/>
      <c r="T200" s="9" t="n"/>
      <c r="U200" s="8" t="n"/>
    </row>
    <row r="201">
      <c r="A201" s="6" t="inlineStr">
        <is>
          <t>TR-172</t>
        </is>
      </c>
      <c r="B201" s="6" t="inlineStr">
        <is>
          <t>Retired flow</t>
        </is>
      </c>
      <c r="C201" s="6" t="inlineStr">
        <is>
          <t>Flow estate</t>
        </is>
      </c>
      <c r="D201" s="6" t="inlineStr">
        <is>
          <t>Any e-mail this flow sends</t>
        </is>
      </c>
      <c r="E201" s="6" t="inlineStr">
        <is>
          <t>Web - Send Email</t>
        </is>
      </c>
      <c r="F201" s="6" t="inlineStr">
        <is>
          <t>e5e2c6a2…</t>
        </is>
      </c>
      <c r="G201" s="6" t="inlineStr">
        <is>
          <t>superseded mail flow</t>
        </is>
      </c>
      <c r="H201" s="6" t="n"/>
      <c r="I201" s="6" t="n"/>
      <c r="J201" s="6" t="n"/>
      <c r="K201" s="6" t="inlineStr">
        <is>
          <t>retired (registers/flow-adoption.json)</t>
        </is>
      </c>
      <c r="L201" s="6" t="inlineStr">
        <is>
          <t>No</t>
        </is>
      </c>
      <c r="M201" s="6" t="n"/>
      <c r="N201" s="6" t="n"/>
      <c r="O201" s="6" t="inlineStr">
        <is>
          <t>Turned off (owner, 6 October 2026)</t>
        </is>
      </c>
      <c r="P201" s="13" t="inlineStr">
        <is>
          <t>RETIRED</t>
        </is>
      </c>
      <c r="Q201" s="6" t="inlineStr">
        <is>
          <t>Successor: IP_SEND_EMAIL. Delete from 2026-10-20.</t>
        </is>
      </c>
      <c r="R201" s="6" t="inlineStr">
        <is>
          <t>If it is in the tenant: turn it off, then delete it once its run history shows no call for 14 days.</t>
        </is>
      </c>
      <c r="S201" s="8" t="n"/>
      <c r="T201" s="9" t="n"/>
      <c r="U201" s="8" t="n"/>
    </row>
    <row r="202">
      <c r="A202" s="6" t="inlineStr">
        <is>
          <t>TR-173</t>
        </is>
      </c>
      <c r="B202" s="6" t="inlineStr">
        <is>
          <t>Retired flow</t>
        </is>
      </c>
      <c r="C202" s="6" t="inlineStr">
        <is>
          <t>Flow estate</t>
        </is>
      </c>
      <c r="D202" s="6" t="inlineStr">
        <is>
          <t>Any e-mail this flow sends</t>
        </is>
      </c>
      <c r="E202" s="6" t="inlineStr">
        <is>
          <t>01 - Fetch_All_Data_&amp;_References_Matrix-POST</t>
        </is>
      </c>
      <c r="F202" s="6" t="inlineStr">
        <is>
          <t>3eec824c…</t>
        </is>
      </c>
      <c r="G202" s="6" t="inlineStr">
        <is>
          <t>superseded workspace data flow</t>
        </is>
      </c>
      <c r="H202" s="6" t="n"/>
      <c r="I202" s="6" t="n"/>
      <c r="J202" s="6" t="n"/>
      <c r="K202" s="6" t="inlineStr">
        <is>
          <t>retired (registers/flow-adoption.json)</t>
        </is>
      </c>
      <c r="L202" s="6" t="inlineStr">
        <is>
          <t>No</t>
        </is>
      </c>
      <c r="M202" s="6" t="n"/>
      <c r="N202" s="6" t="n"/>
      <c r="O202" s="6" t="inlineStr">
        <is>
          <t>Turned off (owner, 6 October 2026)</t>
        </is>
      </c>
      <c r="P202" s="13" t="inlineStr">
        <is>
          <t>RETIRED</t>
        </is>
      </c>
      <c r="Q202" s="6" t="inlineStr">
        <is>
          <t>Successor: IP_FETCH_ALL_BOOTSTRAP. Delete from 2026-10-20.</t>
        </is>
      </c>
      <c r="R202" s="6" t="inlineStr">
        <is>
          <t>If it is in the tenant: turn it off, then delete it once its run history shows no call for 14 days.</t>
        </is>
      </c>
      <c r="S202" s="8" t="n"/>
      <c r="T202" s="9" t="n"/>
      <c r="U202" s="8" t="n"/>
    </row>
    <row r="203">
      <c r="A203" s="6" t="inlineStr">
        <is>
          <t>TR-174</t>
        </is>
      </c>
      <c r="B203" s="6" t="inlineStr">
        <is>
          <t>Retired flow</t>
        </is>
      </c>
      <c r="C203" s="6" t="inlineStr">
        <is>
          <t>Flow estate</t>
        </is>
      </c>
      <c r="D203" s="6" t="inlineStr">
        <is>
          <t>Any e-mail this flow sends</t>
        </is>
      </c>
      <c r="E203" s="6" t="inlineStr">
        <is>
          <t>02- Fetch_All_Data_&amp;_References_Matrix-POST</t>
        </is>
      </c>
      <c r="F203" s="6" t="inlineStr">
        <is>
          <t>10f0d76b…</t>
        </is>
      </c>
      <c r="G203" s="6" t="inlineStr">
        <is>
          <t>superseded workspace data flow</t>
        </is>
      </c>
      <c r="H203" s="6" t="n"/>
      <c r="I203" s="6" t="n"/>
      <c r="J203" s="6" t="n"/>
      <c r="K203" s="6" t="inlineStr">
        <is>
          <t>retired (registers/flow-adoption.json)</t>
        </is>
      </c>
      <c r="L203" s="6" t="inlineStr">
        <is>
          <t>No</t>
        </is>
      </c>
      <c r="M203" s="6" t="n"/>
      <c r="N203" s="6" t="n"/>
      <c r="O203" s="6" t="inlineStr">
        <is>
          <t>Turned off (owner, 6 October 2026)</t>
        </is>
      </c>
      <c r="P203" s="13" t="inlineStr">
        <is>
          <t>RETIRED</t>
        </is>
      </c>
      <c r="Q203" s="6" t="inlineStr">
        <is>
          <t>Successor: IP_FETCH_ALL_BOOTSTRAP. Delete from 2026-10-20.</t>
        </is>
      </c>
      <c r="R203" s="6" t="inlineStr">
        <is>
          <t>If it is in the tenant: turn it off, then delete it once its run history shows no call for 14 days.</t>
        </is>
      </c>
      <c r="S203" s="8" t="n"/>
      <c r="T203" s="9" t="n"/>
      <c r="U203" s="8" t="n"/>
    </row>
    <row r="204">
      <c r="A204" s="6" t="inlineStr">
        <is>
          <t>TR-175</t>
        </is>
      </c>
      <c r="B204" s="6" t="inlineStr">
        <is>
          <t>Retired flow</t>
        </is>
      </c>
      <c r="C204" s="6" t="inlineStr">
        <is>
          <t>Flow estate</t>
        </is>
      </c>
      <c r="D204" s="6" t="inlineStr">
        <is>
          <t>Any e-mail this flow sends</t>
        </is>
      </c>
      <c r="E204" s="6" t="inlineStr">
        <is>
          <t>03 - Fetch_All_Data_&amp;_References_Matrix-POST</t>
        </is>
      </c>
      <c r="F204" s="6" t="inlineStr">
        <is>
          <t>672e6085…</t>
        </is>
      </c>
      <c r="G204" s="6" t="inlineStr">
        <is>
          <t>superseded workspace data flow</t>
        </is>
      </c>
      <c r="H204" s="6" t="n"/>
      <c r="I204" s="6" t="n"/>
      <c r="J204" s="6" t="n"/>
      <c r="K204" s="6" t="inlineStr">
        <is>
          <t>retired (registers/flow-adoption.json)</t>
        </is>
      </c>
      <c r="L204" s="6" t="inlineStr">
        <is>
          <t>No</t>
        </is>
      </c>
      <c r="M204" s="6" t="n"/>
      <c r="N204" s="6" t="n"/>
      <c r="O204" s="6" t="inlineStr">
        <is>
          <t>Turned off (owner, 6 October 2026)</t>
        </is>
      </c>
      <c r="P204" s="13" t="inlineStr">
        <is>
          <t>RETIRED</t>
        </is>
      </c>
      <c r="Q204" s="6" t="inlineStr">
        <is>
          <t>Successor: IP_FETCH_ALL_BOOTSTRAP. Delete from 2026-10-20.</t>
        </is>
      </c>
      <c r="R204" s="6" t="inlineStr">
        <is>
          <t>If it is in the tenant: turn it off, then delete it once its run history shows no call for 14 days.</t>
        </is>
      </c>
      <c r="S204" s="8" t="n"/>
      <c r="T204" s="9" t="n"/>
      <c r="U204" s="8" t="n"/>
    </row>
    <row r="205">
      <c r="A205" s="6" t="inlineStr">
        <is>
          <t>TR-176</t>
        </is>
      </c>
      <c r="B205" s="6" t="inlineStr">
        <is>
          <t>Retired flow</t>
        </is>
      </c>
      <c r="C205" s="6" t="inlineStr">
        <is>
          <t>Flow estate</t>
        </is>
      </c>
      <c r="D205" s="6" t="inlineStr">
        <is>
          <t>Any e-mail this flow sends</t>
        </is>
      </c>
      <c r="E205" s="6" t="inlineStr">
        <is>
          <t>IP_FETCH_ALL__EXTENDED_ENDPOINT</t>
        </is>
      </c>
      <c r="F205" s="6" t="inlineStr">
        <is>
          <t>ce2cbed8…</t>
        </is>
      </c>
      <c r="G205" s="6" t="inlineStr">
        <is>
          <t>duplicate: an alternative FETCH_ALL build behind no URL (ITEM-63)</t>
        </is>
      </c>
      <c r="H205" s="6" t="n"/>
      <c r="I205" s="6" t="n"/>
      <c r="J205" s="6" t="n"/>
      <c r="K205" s="6" t="inlineStr">
        <is>
          <t>retired (registers/flow-adoption.json)</t>
        </is>
      </c>
      <c r="L205" s="6" t="inlineStr">
        <is>
          <t>No</t>
        </is>
      </c>
      <c r="M205" s="6" t="n"/>
      <c r="N205" s="6" t="n"/>
      <c r="O205" s="6" t="inlineStr">
        <is>
          <t>Turned off (owner, 6 October 2026)</t>
        </is>
      </c>
      <c r="P205" s="13" t="inlineStr">
        <is>
          <t>RETIRED</t>
        </is>
      </c>
      <c r="Q205" s="6" t="inlineStr">
        <is>
          <t>Successor: IP_FETCH_ALL_BOOTSTRAP. Delete from 2026-10-20.</t>
        </is>
      </c>
      <c r="R205" s="6" t="inlineStr">
        <is>
          <t>If it is in the tenant: turn it off, then delete it once its run history shows no call for 14 days.</t>
        </is>
      </c>
      <c r="S205" s="8" t="n"/>
      <c r="T205" s="9" t="n"/>
      <c r="U205" s="8" t="n"/>
    </row>
    <row r="206">
      <c r="A206" s="6" t="inlineStr">
        <is>
          <t>TR-177</t>
        </is>
      </c>
      <c r="B206" s="6" t="inlineStr">
        <is>
          <t>Retired flow</t>
        </is>
      </c>
      <c r="C206" s="6" t="inlineStr">
        <is>
          <t>Flow estate</t>
        </is>
      </c>
      <c r="D206" s="6" t="inlineStr">
        <is>
          <t>Any e-mail this flow sends</t>
        </is>
      </c>
      <c r="E206" s="6" t="inlineStr">
        <is>
          <t>Fetch_Tasks_POST</t>
        </is>
      </c>
      <c r="F206" s="6" t="inlineStr">
        <is>
          <t>d477fe23…</t>
        </is>
      </c>
      <c r="G206" s="6" t="inlineStr">
        <is>
          <t>superseded task read flow</t>
        </is>
      </c>
      <c r="H206" s="6" t="n"/>
      <c r="I206" s="6" t="n"/>
      <c r="J206" s="6" t="n"/>
      <c r="K206" s="6" t="inlineStr">
        <is>
          <t>retired (registers/flow-adoption.json)</t>
        </is>
      </c>
      <c r="L206" s="6" t="inlineStr">
        <is>
          <t>No</t>
        </is>
      </c>
      <c r="M206" s="6" t="n"/>
      <c r="N206" s="6" t="n"/>
      <c r="O206" s="6" t="inlineStr">
        <is>
          <t>Turned off (owner, 6 October 2026)</t>
        </is>
      </c>
      <c r="P206" s="13" t="inlineStr">
        <is>
          <t>RETIRED</t>
        </is>
      </c>
      <c r="Q206" s="6" t="inlineStr">
        <is>
          <t>Successor: IP_FETCH_ALL_BOOTSTRAP. Delete from 2026-10-20.</t>
        </is>
      </c>
      <c r="R206" s="6" t="inlineStr">
        <is>
          <t>If it is in the tenant: turn it off, then delete it once its run history shows no call for 14 days.</t>
        </is>
      </c>
      <c r="S206" s="8" t="n"/>
      <c r="T206" s="9" t="n"/>
      <c r="U206" s="8" t="n"/>
    </row>
    <row r="207">
      <c r="A207" s="6" t="inlineStr">
        <is>
          <t>TR-178</t>
        </is>
      </c>
      <c r="B207" s="6" t="inlineStr">
        <is>
          <t>Retired flow</t>
        </is>
      </c>
      <c r="C207" s="6" t="inlineStr">
        <is>
          <t>Flow estate</t>
        </is>
      </c>
      <c r="D207" s="6" t="inlineStr">
        <is>
          <t>Any e-mail this flow sends</t>
        </is>
      </c>
      <c r="E207" s="6" t="inlineStr">
        <is>
          <t>Get Tasks HTTP</t>
        </is>
      </c>
      <c r="F207" s="6" t="inlineStr">
        <is>
          <t>2b146c0c…</t>
        </is>
      </c>
      <c r="G207" s="6" t="inlineStr">
        <is>
          <t>superseded task read flow</t>
        </is>
      </c>
      <c r="H207" s="6" t="n"/>
      <c r="I207" s="6" t="n"/>
      <c r="J207" s="6" t="n"/>
      <c r="K207" s="6" t="inlineStr">
        <is>
          <t>retired (registers/flow-adoption.json)</t>
        </is>
      </c>
      <c r="L207" s="6" t="inlineStr">
        <is>
          <t>No</t>
        </is>
      </c>
      <c r="M207" s="6" t="n"/>
      <c r="N207" s="6" t="n"/>
      <c r="O207" s="6" t="inlineStr">
        <is>
          <t>Turned off (owner, 6 October 2026)</t>
        </is>
      </c>
      <c r="P207" s="13" t="inlineStr">
        <is>
          <t>RETIRED</t>
        </is>
      </c>
      <c r="Q207" s="6" t="inlineStr">
        <is>
          <t>Successor: IP_FETCH_ALL_BOOTSTRAP. Delete from 2026-10-20.</t>
        </is>
      </c>
      <c r="R207" s="6" t="inlineStr">
        <is>
          <t>If it is in the tenant: turn it off, then delete it once its run history shows no call for 14 days.</t>
        </is>
      </c>
      <c r="S207" s="8" t="n"/>
      <c r="T207" s="9" t="n"/>
      <c r="U207" s="8" t="n"/>
    </row>
    <row r="208">
      <c r="A208" s="6" t="inlineStr">
        <is>
          <t>TR-179</t>
        </is>
      </c>
      <c r="B208" s="6" t="inlineStr">
        <is>
          <t>Retired flow</t>
        </is>
      </c>
      <c r="C208" s="6" t="inlineStr">
        <is>
          <t>Flow estate</t>
        </is>
      </c>
      <c r="D208" s="6" t="inlineStr">
        <is>
          <t>Any e-mail this flow sends</t>
        </is>
      </c>
      <c r="E208" s="6" t="inlineStr">
        <is>
          <t>Web - Get Tasks GET SWITCH</t>
        </is>
      </c>
      <c r="F208" s="6" t="inlineStr">
        <is>
          <t>49de1ff0…</t>
        </is>
      </c>
      <c r="G208" s="6" t="inlineStr">
        <is>
          <t>superseded task read flow</t>
        </is>
      </c>
      <c r="H208" s="6" t="n"/>
      <c r="I208" s="6" t="n"/>
      <c r="J208" s="6" t="n"/>
      <c r="K208" s="6" t="inlineStr">
        <is>
          <t>retired (registers/flow-adoption.json)</t>
        </is>
      </c>
      <c r="L208" s="6" t="inlineStr">
        <is>
          <t>No</t>
        </is>
      </c>
      <c r="M208" s="6" t="n"/>
      <c r="N208" s="6" t="n"/>
      <c r="O208" s="6" t="inlineStr">
        <is>
          <t>Turned off (owner, 6 October 2026)</t>
        </is>
      </c>
      <c r="P208" s="13" t="inlineStr">
        <is>
          <t>RETIRED</t>
        </is>
      </c>
      <c r="Q208" s="6" t="inlineStr">
        <is>
          <t>Successor: IP_FETCH_ALL_BOOTSTRAP. Delete from 2026-10-20.</t>
        </is>
      </c>
      <c r="R208" s="6" t="inlineStr">
        <is>
          <t>If it is in the tenant: turn it off, then delete it once its run history shows no call for 14 days.</t>
        </is>
      </c>
      <c r="S208" s="8" t="n"/>
      <c r="T208" s="9" t="n"/>
      <c r="U208" s="8" t="n"/>
    </row>
    <row r="209">
      <c r="A209" s="6" t="inlineStr">
        <is>
          <t>TR-180</t>
        </is>
      </c>
      <c r="B209" s="6" t="inlineStr">
        <is>
          <t>Retired flow</t>
        </is>
      </c>
      <c r="C209" s="6" t="inlineStr">
        <is>
          <t>Flow estate</t>
        </is>
      </c>
      <c r="D209" s="6" t="inlineStr">
        <is>
          <t>Any e-mail this flow sends</t>
        </is>
      </c>
      <c r="E209" s="6" t="inlineStr">
        <is>
          <t>Get Selected Activities and Tasks</t>
        </is>
      </c>
      <c r="F209" s="6" t="inlineStr">
        <is>
          <t>912f4b9f…</t>
        </is>
      </c>
      <c r="G209" s="6" t="inlineStr">
        <is>
          <t>superseded read flow</t>
        </is>
      </c>
      <c r="H209" s="6" t="n"/>
      <c r="I209" s="6" t="n"/>
      <c r="J209" s="6" t="n"/>
      <c r="K209" s="6" t="inlineStr">
        <is>
          <t>retired (registers/flow-adoption.json)</t>
        </is>
      </c>
      <c r="L209" s="6" t="inlineStr">
        <is>
          <t>No</t>
        </is>
      </c>
      <c r="M209" s="6" t="n"/>
      <c r="N209" s="6" t="n"/>
      <c r="O209" s="6" t="inlineStr">
        <is>
          <t>Turned off (owner, 6 October 2026)</t>
        </is>
      </c>
      <c r="P209" s="13" t="inlineStr">
        <is>
          <t>RETIRED</t>
        </is>
      </c>
      <c r="Q209" s="6" t="inlineStr">
        <is>
          <t>Successor: IP_FETCH_ALL_BOOTSTRAP. Delete from 2026-10-20.</t>
        </is>
      </c>
      <c r="R209" s="6" t="inlineStr">
        <is>
          <t>If it is in the tenant: turn it off, then delete it once its run history shows no call for 14 days.</t>
        </is>
      </c>
      <c r="S209" s="8" t="n"/>
      <c r="T209" s="9" t="n"/>
      <c r="U209" s="8" t="n"/>
    </row>
    <row r="210">
      <c r="A210" s="6" t="inlineStr">
        <is>
          <t>TR-181</t>
        </is>
      </c>
      <c r="B210" s="6" t="inlineStr">
        <is>
          <t>Retired flow</t>
        </is>
      </c>
      <c r="C210" s="6" t="inlineStr">
        <is>
          <t>Flow estate</t>
        </is>
      </c>
      <c r="D210" s="6" t="inlineStr">
        <is>
          <t>Any e-mail this flow sends</t>
        </is>
      </c>
      <c r="E210" s="6" t="inlineStr">
        <is>
          <t>01-Fetch_Docs_POST</t>
        </is>
      </c>
      <c r="F210" s="6" t="inlineStr">
        <is>
          <t>e663a119…</t>
        </is>
      </c>
      <c r="G210" s="6" t="inlineStr">
        <is>
          <t>superseded document read flow</t>
        </is>
      </c>
      <c r="H210" s="6" t="n"/>
      <c r="I210" s="6" t="n"/>
      <c r="J210" s="6" t="n"/>
      <c r="K210" s="6" t="inlineStr">
        <is>
          <t>retired (registers/flow-adoption.json)</t>
        </is>
      </c>
      <c r="L210" s="6" t="inlineStr">
        <is>
          <t>No</t>
        </is>
      </c>
      <c r="M210" s="6" t="n"/>
      <c r="N210" s="6" t="n"/>
      <c r="O210" s="6" t="inlineStr">
        <is>
          <t>Turned off (owner, 6 October 2026)</t>
        </is>
      </c>
      <c r="P210" s="13" t="inlineStr">
        <is>
          <t>RETIRED</t>
        </is>
      </c>
      <c r="Q210" s="6" t="inlineStr">
        <is>
          <t>Successor: IP_Get_Docs_Endpoint. Delete from 2026-10-20.</t>
        </is>
      </c>
      <c r="R210" s="6" t="inlineStr">
        <is>
          <t>If it is in the tenant: turn it off, then delete it once its run history shows no call for 14 days.</t>
        </is>
      </c>
      <c r="S210" s="8" t="n"/>
      <c r="T210" s="9" t="n"/>
      <c r="U210" s="8" t="n"/>
    </row>
    <row r="211">
      <c r="A211" s="6" t="inlineStr">
        <is>
          <t>TR-182</t>
        </is>
      </c>
      <c r="B211" s="6" t="inlineStr">
        <is>
          <t>Retired flow</t>
        </is>
      </c>
      <c r="C211" s="6" t="inlineStr">
        <is>
          <t>Flow estate</t>
        </is>
      </c>
      <c r="D211" s="6" t="inlineStr">
        <is>
          <t>Any e-mail this flow sends</t>
        </is>
      </c>
      <c r="E211" s="6" t="inlineStr">
        <is>
          <t>02-Fetch_Docs_POST</t>
        </is>
      </c>
      <c r="F211" s="6" t="inlineStr">
        <is>
          <t>e83e7462…</t>
        </is>
      </c>
      <c r="G211" s="6" t="inlineStr">
        <is>
          <t>superseded document read flow</t>
        </is>
      </c>
      <c r="H211" s="6" t="n"/>
      <c r="I211" s="6" t="n"/>
      <c r="J211" s="6" t="n"/>
      <c r="K211" s="6" t="inlineStr">
        <is>
          <t>retired (registers/flow-adoption.json)</t>
        </is>
      </c>
      <c r="L211" s="6" t="inlineStr">
        <is>
          <t>No</t>
        </is>
      </c>
      <c r="M211" s="6" t="n"/>
      <c r="N211" s="6" t="n"/>
      <c r="O211" s="6" t="inlineStr">
        <is>
          <t>Turned off (owner, 6 October 2026)</t>
        </is>
      </c>
      <c r="P211" s="13" t="inlineStr">
        <is>
          <t>RETIRED</t>
        </is>
      </c>
      <c r="Q211" s="6" t="inlineStr">
        <is>
          <t>Successor: IP_Get_Docs_Endpoint. Delete from 2026-10-20.</t>
        </is>
      </c>
      <c r="R211" s="6" t="inlineStr">
        <is>
          <t>If it is in the tenant: turn it off, then delete it once its run history shows no call for 14 days.</t>
        </is>
      </c>
      <c r="S211" s="8" t="n"/>
      <c r="T211" s="9" t="n"/>
      <c r="U211" s="8" t="n"/>
    </row>
    <row r="212">
      <c r="A212" s="6" t="inlineStr">
        <is>
          <t>TR-183</t>
        </is>
      </c>
      <c r="B212" s="6" t="inlineStr">
        <is>
          <t>Retired flow</t>
        </is>
      </c>
      <c r="C212" s="6" t="inlineStr">
        <is>
          <t>Flow estate</t>
        </is>
      </c>
      <c r="D212" s="6" t="inlineStr">
        <is>
          <t>Any e-mail this flow sends</t>
        </is>
      </c>
      <c r="E212" s="6" t="inlineStr">
        <is>
          <t>FETCH_DOCS_V2_POST</t>
        </is>
      </c>
      <c r="F212" s="6" t="inlineStr">
        <is>
          <t>34a6d00d…</t>
        </is>
      </c>
      <c r="G212" s="6" t="inlineStr">
        <is>
          <t>superseded document read flow</t>
        </is>
      </c>
      <c r="H212" s="6" t="n"/>
      <c r="I212" s="6" t="n"/>
      <c r="J212" s="6" t="n"/>
      <c r="K212" s="6" t="inlineStr">
        <is>
          <t>retired (registers/flow-adoption.json)</t>
        </is>
      </c>
      <c r="L212" s="6" t="inlineStr">
        <is>
          <t>No</t>
        </is>
      </c>
      <c r="M212" s="6" t="n"/>
      <c r="N212" s="6" t="n"/>
      <c r="O212" s="6" t="inlineStr">
        <is>
          <t>Turned off (owner, 6 October 2026)</t>
        </is>
      </c>
      <c r="P212" s="13" t="inlineStr">
        <is>
          <t>RETIRED</t>
        </is>
      </c>
      <c r="Q212" s="6" t="inlineStr">
        <is>
          <t>Successor: IP_Get_Docs_Endpoint. Delete from 2026-10-20.</t>
        </is>
      </c>
      <c r="R212" s="6" t="inlineStr">
        <is>
          <t>If it is in the tenant: turn it off, then delete it once its run history shows no call for 14 days.</t>
        </is>
      </c>
      <c r="S212" s="8" t="n"/>
      <c r="T212" s="9" t="n"/>
      <c r="U212" s="8" t="n"/>
    </row>
    <row r="213">
      <c r="A213" s="6" t="inlineStr">
        <is>
          <t>TR-184</t>
        </is>
      </c>
      <c r="B213" s="6" t="inlineStr">
        <is>
          <t>Retired flow</t>
        </is>
      </c>
      <c r="C213" s="6" t="inlineStr">
        <is>
          <t>Flow estate</t>
        </is>
      </c>
      <c r="D213" s="6" t="inlineStr">
        <is>
          <t>Any e-mail this flow sends</t>
        </is>
      </c>
      <c r="E213" s="6" t="inlineStr">
        <is>
          <t>Get Docs HTTP</t>
        </is>
      </c>
      <c r="F213" s="6" t="inlineStr">
        <is>
          <t>a9439b39…</t>
        </is>
      </c>
      <c r="G213" s="6" t="inlineStr">
        <is>
          <t>superseded document read flow</t>
        </is>
      </c>
      <c r="H213" s="6" t="n"/>
      <c r="I213" s="6" t="n"/>
      <c r="J213" s="6" t="n"/>
      <c r="K213" s="6" t="inlineStr">
        <is>
          <t>retired (registers/flow-adoption.json)</t>
        </is>
      </c>
      <c r="L213" s="6" t="inlineStr">
        <is>
          <t>No</t>
        </is>
      </c>
      <c r="M213" s="6" t="n"/>
      <c r="N213" s="6" t="n"/>
      <c r="O213" s="6" t="inlineStr">
        <is>
          <t>Turned off (owner, 6 October 2026)</t>
        </is>
      </c>
      <c r="P213" s="13" t="inlineStr">
        <is>
          <t>RETIRED</t>
        </is>
      </c>
      <c r="Q213" s="6" t="inlineStr">
        <is>
          <t>Successor: IP_Get_Docs_Endpoint. Delete from 2026-10-20.</t>
        </is>
      </c>
      <c r="R213" s="6" t="inlineStr">
        <is>
          <t>If it is in the tenant: turn it off, then delete it once its run history shows no call for 14 days.</t>
        </is>
      </c>
      <c r="S213" s="8" t="n"/>
      <c r="T213" s="9" t="n"/>
      <c r="U213" s="8" t="n"/>
    </row>
    <row r="214">
      <c r="A214" s="6" t="inlineStr">
        <is>
          <t>TR-185</t>
        </is>
      </c>
      <c r="B214" s="6" t="inlineStr">
        <is>
          <t>Retired flow</t>
        </is>
      </c>
      <c r="C214" s="6" t="inlineStr">
        <is>
          <t>Flow estate</t>
        </is>
      </c>
      <c r="D214" s="6" t="inlineStr">
        <is>
          <t>Any e-mail this flow sends</t>
        </is>
      </c>
      <c r="E214" s="6" t="inlineStr">
        <is>
          <t>GetDocsPaginatedData</t>
        </is>
      </c>
      <c r="F214" s="6" t="inlineStr">
        <is>
          <t>81cacabd…</t>
        </is>
      </c>
      <c r="G214" s="6" t="inlineStr">
        <is>
          <t>superseded document read flow</t>
        </is>
      </c>
      <c r="H214" s="6" t="n"/>
      <c r="I214" s="6" t="n"/>
      <c r="J214" s="6" t="n"/>
      <c r="K214" s="6" t="inlineStr">
        <is>
          <t>retired (registers/flow-adoption.json)</t>
        </is>
      </c>
      <c r="L214" s="6" t="inlineStr">
        <is>
          <t>No</t>
        </is>
      </c>
      <c r="M214" s="6" t="n"/>
      <c r="N214" s="6" t="n"/>
      <c r="O214" s="6" t="inlineStr">
        <is>
          <t>Turned off (owner, 6 October 2026)</t>
        </is>
      </c>
      <c r="P214" s="13" t="inlineStr">
        <is>
          <t>RETIRED</t>
        </is>
      </c>
      <c r="Q214" s="6" t="inlineStr">
        <is>
          <t>Successor: IP_Get_Docs_Endpoint. Delete from 2026-10-20.</t>
        </is>
      </c>
      <c r="R214" s="6" t="inlineStr">
        <is>
          <t>If it is in the tenant: turn it off, then delete it once its run history shows no call for 14 days.</t>
        </is>
      </c>
      <c r="S214" s="8" t="n"/>
      <c r="T214" s="9" t="n"/>
      <c r="U214" s="8" t="n"/>
    </row>
    <row r="215">
      <c r="A215" s="6" t="inlineStr">
        <is>
          <t>TR-186</t>
        </is>
      </c>
      <c r="B215" s="6" t="inlineStr">
        <is>
          <t>Retired flow</t>
        </is>
      </c>
      <c r="C215" s="6" t="inlineStr">
        <is>
          <t>Flow estate</t>
        </is>
      </c>
      <c r="D215" s="6" t="inlineStr">
        <is>
          <t>Any e-mail this flow sends</t>
        </is>
      </c>
      <c r="E215" s="6" t="inlineStr">
        <is>
          <t>WEB Get Docs  HTTP GET</t>
        </is>
      </c>
      <c r="F215" s="6" t="inlineStr">
        <is>
          <t>d4907f18…</t>
        </is>
      </c>
      <c r="G215" s="6" t="inlineStr">
        <is>
          <t>superseded document read flow</t>
        </is>
      </c>
      <c r="H215" s="6" t="n"/>
      <c r="I215" s="6" t="n"/>
      <c r="J215" s="6" t="n"/>
      <c r="K215" s="6" t="inlineStr">
        <is>
          <t>retired (registers/flow-adoption.json)</t>
        </is>
      </c>
      <c r="L215" s="6" t="inlineStr">
        <is>
          <t>No</t>
        </is>
      </c>
      <c r="M215" s="6" t="n"/>
      <c r="N215" s="6" t="n"/>
      <c r="O215" s="6" t="inlineStr">
        <is>
          <t>Turned off (owner, 6 October 2026)</t>
        </is>
      </c>
      <c r="P215" s="13" t="inlineStr">
        <is>
          <t>RETIRED</t>
        </is>
      </c>
      <c r="Q215" s="6" t="inlineStr">
        <is>
          <t>Successor: IP_Get_Docs_Endpoint. Delete from 2026-10-20.</t>
        </is>
      </c>
      <c r="R215" s="6" t="inlineStr">
        <is>
          <t>If it is in the tenant: turn it off, then delete it once its run history shows no call for 14 days.</t>
        </is>
      </c>
      <c r="S215" s="8" t="n"/>
      <c r="T215" s="9" t="n"/>
      <c r="U215" s="8" t="n"/>
    </row>
    <row r="216">
      <c r="A216" s="6" t="inlineStr">
        <is>
          <t>TR-187</t>
        </is>
      </c>
      <c r="B216" s="6" t="inlineStr">
        <is>
          <t>Retired flow</t>
        </is>
      </c>
      <c r="C216" s="6" t="inlineStr">
        <is>
          <t>Flow estate</t>
        </is>
      </c>
      <c r="D216" s="6" t="inlineStr">
        <is>
          <t>Any e-mail this flow sends</t>
        </is>
      </c>
      <c r="E216" s="6" t="inlineStr">
        <is>
          <t>Fetch Activities</t>
        </is>
      </c>
      <c r="F216" s="6" t="inlineStr">
        <is>
          <t>09912e0b…</t>
        </is>
      </c>
      <c r="G216" s="6" t="inlineStr">
        <is>
          <t>superseded: an earlier flow named IP_Get_Docs_Endpoint</t>
        </is>
      </c>
      <c r="H216" s="6" t="n"/>
      <c r="I216" s="6" t="n"/>
      <c r="J216" s="6" t="n"/>
      <c r="K216" s="6" t="inlineStr">
        <is>
          <t>retired (registers/flow-adoption.json)</t>
        </is>
      </c>
      <c r="L216" s="6" t="inlineStr">
        <is>
          <t>No</t>
        </is>
      </c>
      <c r="M216" s="6" t="n"/>
      <c r="N216" s="6" t="n"/>
      <c r="O216" s="6" t="inlineStr">
        <is>
          <t>Turned off (owner, 6 October 2026)</t>
        </is>
      </c>
      <c r="P216" s="13" t="inlineStr">
        <is>
          <t>RETIRED</t>
        </is>
      </c>
      <c r="Q216" s="6" t="inlineStr">
        <is>
          <t>Successor: IP_Get_Docs_Endpoint. Delete from 2026-10-20.</t>
        </is>
      </c>
      <c r="R216" s="6" t="inlineStr">
        <is>
          <t>If it is in the tenant: turn it off, then delete it once its run history shows no call for 14 days.</t>
        </is>
      </c>
      <c r="S216" s="8" t="n"/>
      <c r="T216" s="9" t="n"/>
      <c r="U216" s="8" t="n"/>
    </row>
    <row r="217">
      <c r="A217" s="6" t="inlineStr">
        <is>
          <t>TR-188</t>
        </is>
      </c>
      <c r="B217" s="6" t="inlineStr">
        <is>
          <t>Retired flow</t>
        </is>
      </c>
      <c r="C217" s="6" t="inlineStr">
        <is>
          <t>Flow estate</t>
        </is>
      </c>
      <c r="D217" s="6" t="inlineStr">
        <is>
          <t>Any e-mail this flow sends</t>
        </is>
      </c>
      <c r="E217" s="6" t="inlineStr">
        <is>
          <t>01 - Fetch_References_and_Lookups_Data - POST</t>
        </is>
      </c>
      <c r="F217" s="6" t="inlineStr">
        <is>
          <t>3dc47349…</t>
        </is>
      </c>
      <c r="G217" s="6" t="inlineStr">
        <is>
          <t>superseded reference data flow</t>
        </is>
      </c>
      <c r="H217" s="6" t="n"/>
      <c r="I217" s="6" t="n"/>
      <c r="J217" s="6" t="n"/>
      <c r="K217" s="6" t="inlineStr">
        <is>
          <t>retired (registers/flow-adoption.json)</t>
        </is>
      </c>
      <c r="L217" s="6" t="inlineStr">
        <is>
          <t>No</t>
        </is>
      </c>
      <c r="M217" s="6" t="n"/>
      <c r="N217" s="6" t="n"/>
      <c r="O217" s="6" t="inlineStr">
        <is>
          <t>Turned off (owner, 6 October 2026)</t>
        </is>
      </c>
      <c r="P217" s="13" t="inlineStr">
        <is>
          <t>RETIRED</t>
        </is>
      </c>
      <c r="Q217" s="6" t="inlineStr">
        <is>
          <t>Successor: IP_Reference_Data_Endpoint. Delete from 2026-10-20.</t>
        </is>
      </c>
      <c r="R217" s="6" t="inlineStr">
        <is>
          <t>If it is in the tenant: turn it off, then delete it once its run history shows no call for 14 days.</t>
        </is>
      </c>
      <c r="S217" s="8" t="n"/>
      <c r="T217" s="9" t="n"/>
      <c r="U217" s="8" t="n"/>
    </row>
    <row r="218">
      <c r="A218" s="6" t="inlineStr">
        <is>
          <t>TR-189</t>
        </is>
      </c>
      <c r="B218" s="6" t="inlineStr">
        <is>
          <t>Retired flow</t>
        </is>
      </c>
      <c r="C218" s="6" t="inlineStr">
        <is>
          <t>Flow estate</t>
        </is>
      </c>
      <c r="D218" s="6" t="inlineStr">
        <is>
          <t>Any e-mail this flow sends</t>
        </is>
      </c>
      <c r="E218" s="6" t="inlineStr">
        <is>
          <t>02 - Fetch_References_and_Lookups_Data - POST</t>
        </is>
      </c>
      <c r="F218" s="6" t="inlineStr">
        <is>
          <t>e1a827d5…</t>
        </is>
      </c>
      <c r="G218" s="6" t="inlineStr">
        <is>
          <t>superseded reference data flow</t>
        </is>
      </c>
      <c r="H218" s="6" t="n"/>
      <c r="I218" s="6" t="n"/>
      <c r="J218" s="6" t="n"/>
      <c r="K218" s="6" t="inlineStr">
        <is>
          <t>retired (registers/flow-adoption.json)</t>
        </is>
      </c>
      <c r="L218" s="6" t="inlineStr">
        <is>
          <t>No</t>
        </is>
      </c>
      <c r="M218" s="6" t="n"/>
      <c r="N218" s="6" t="n"/>
      <c r="O218" s="6" t="inlineStr">
        <is>
          <t>Turned off (owner, 6 October 2026)</t>
        </is>
      </c>
      <c r="P218" s="13" t="inlineStr">
        <is>
          <t>RETIRED</t>
        </is>
      </c>
      <c r="Q218" s="6" t="inlineStr">
        <is>
          <t>Successor: IP_Reference_Data_Endpoint. Delete from 2026-10-20.</t>
        </is>
      </c>
      <c r="R218" s="6" t="inlineStr">
        <is>
          <t>If it is in the tenant: turn it off, then delete it once its run history shows no call for 14 days.</t>
        </is>
      </c>
      <c r="S218" s="8" t="n"/>
      <c r="T218" s="9" t="n"/>
      <c r="U218" s="8" t="n"/>
    </row>
    <row r="219">
      <c r="A219" s="6" t="inlineStr">
        <is>
          <t>TR-190</t>
        </is>
      </c>
      <c r="B219" s="6" t="inlineStr">
        <is>
          <t>Retired flow</t>
        </is>
      </c>
      <c r="C219" s="6" t="inlineStr">
        <is>
          <t>Flow estate</t>
        </is>
      </c>
      <c r="D219" s="6" t="inlineStr">
        <is>
          <t>Any e-mail this flow sends</t>
        </is>
      </c>
      <c r="E219" s="6" t="inlineStr">
        <is>
          <t>OPS_REFERENCES_AND_LOOKUPS</t>
        </is>
      </c>
      <c r="F219" s="6" t="inlineStr">
        <is>
          <t>9695b92b…</t>
        </is>
      </c>
      <c r="G219" s="6" t="inlineStr">
        <is>
          <t>superseded reference data flow</t>
        </is>
      </c>
      <c r="H219" s="6" t="n"/>
      <c r="I219" s="6" t="n"/>
      <c r="J219" s="6" t="n"/>
      <c r="K219" s="6" t="inlineStr">
        <is>
          <t>retired (registers/flow-adoption.json)</t>
        </is>
      </c>
      <c r="L219" s="6" t="inlineStr">
        <is>
          <t>No</t>
        </is>
      </c>
      <c r="M219" s="6" t="n"/>
      <c r="N219" s="6" t="n"/>
      <c r="O219" s="6" t="inlineStr">
        <is>
          <t>Turned off (owner, 6 October 2026)</t>
        </is>
      </c>
      <c r="P219" s="13" t="inlineStr">
        <is>
          <t>RETIRED</t>
        </is>
      </c>
      <c r="Q219" s="6" t="inlineStr">
        <is>
          <t>Successor: IP_Reference_Data_Endpoint. Delete from 2026-10-20.</t>
        </is>
      </c>
      <c r="R219" s="6" t="inlineStr">
        <is>
          <t>If it is in the tenant: turn it off, then delete it once its run history shows no call for 14 days.</t>
        </is>
      </c>
      <c r="S219" s="8" t="n"/>
      <c r="T219" s="9" t="n"/>
      <c r="U219" s="8" t="n"/>
    </row>
    <row r="220">
      <c r="A220" s="6" t="inlineStr">
        <is>
          <t>TR-191</t>
        </is>
      </c>
      <c r="B220" s="6" t="inlineStr">
        <is>
          <t>Retired flow</t>
        </is>
      </c>
      <c r="C220" s="6" t="inlineStr">
        <is>
          <t>Flow estate</t>
        </is>
      </c>
      <c r="D220" s="6" t="inlineStr">
        <is>
          <t>Any e-mail this flow sends</t>
        </is>
      </c>
      <c r="E220" s="6" t="inlineStr">
        <is>
          <t>Get Email Attachments</t>
        </is>
      </c>
      <c r="F220" s="6" t="inlineStr">
        <is>
          <t>340190e6…</t>
        </is>
      </c>
      <c r="G220" s="6" t="inlineStr">
        <is>
          <t>superseded attachment flow</t>
        </is>
      </c>
      <c r="H220" s="6" t="n"/>
      <c r="I220" s="6" t="n"/>
      <c r="J220" s="6" t="n"/>
      <c r="K220" s="6" t="inlineStr">
        <is>
          <t>retired (registers/flow-adoption.json)</t>
        </is>
      </c>
      <c r="L220" s="6" t="inlineStr">
        <is>
          <t>No</t>
        </is>
      </c>
      <c r="M220" s="6" t="n"/>
      <c r="N220" s="6" t="n"/>
      <c r="O220" s="6" t="inlineStr">
        <is>
          <t>Turned off (owner, 6 October 2026)</t>
        </is>
      </c>
      <c r="P220" s="13" t="inlineStr">
        <is>
          <t>RETIRED</t>
        </is>
      </c>
      <c r="Q220" s="6" t="inlineStr">
        <is>
          <t>Successor: IP_Retrieve_Email_Attachment_Endpoint. Delete from 2026-10-20.</t>
        </is>
      </c>
      <c r="R220" s="6" t="inlineStr">
        <is>
          <t>If it is in the tenant: turn it off, then delete it once its run history shows no call for 14 days.</t>
        </is>
      </c>
      <c r="S220" s="8" t="n"/>
      <c r="T220" s="9" t="n"/>
      <c r="U220" s="8" t="n"/>
    </row>
    <row r="221">
      <c r="A221" s="6" t="inlineStr">
        <is>
          <t>TR-192</t>
        </is>
      </c>
      <c r="B221" s="6" t="inlineStr">
        <is>
          <t>Retired flow</t>
        </is>
      </c>
      <c r="C221" s="6" t="inlineStr">
        <is>
          <t>Flow estate</t>
        </is>
      </c>
      <c r="D221" s="6" t="inlineStr">
        <is>
          <t>Any e-mail this flow sends</t>
        </is>
      </c>
      <c r="E221" s="6" t="inlineStr">
        <is>
          <t>Web - Get Email Attachments</t>
        </is>
      </c>
      <c r="F221" s="6" t="inlineStr">
        <is>
          <t>8726fb6f…</t>
        </is>
      </c>
      <c r="G221" s="6" t="inlineStr">
        <is>
          <t>superseded attachment flow</t>
        </is>
      </c>
      <c r="H221" s="6" t="n"/>
      <c r="I221" s="6" t="n"/>
      <c r="J221" s="6" t="n"/>
      <c r="K221" s="6" t="inlineStr">
        <is>
          <t>retired (registers/flow-adoption.json)</t>
        </is>
      </c>
      <c r="L221" s="6" t="inlineStr">
        <is>
          <t>No</t>
        </is>
      </c>
      <c r="M221" s="6" t="n"/>
      <c r="N221" s="6" t="n"/>
      <c r="O221" s="6" t="inlineStr">
        <is>
          <t>Turned off (owner, 6 October 2026)</t>
        </is>
      </c>
      <c r="P221" s="13" t="inlineStr">
        <is>
          <t>RETIRED</t>
        </is>
      </c>
      <c r="Q221" s="6" t="inlineStr">
        <is>
          <t>Successor: IP_Retrieve_Email_Attachment_Endpoint. Delete from 2026-10-20.</t>
        </is>
      </c>
      <c r="R221" s="6" t="inlineStr">
        <is>
          <t>If it is in the tenant: turn it off, then delete it once its run history shows no call for 14 days.</t>
        </is>
      </c>
      <c r="S221" s="8" t="n"/>
      <c r="T221" s="9" t="n"/>
      <c r="U221" s="8" t="n"/>
    </row>
    <row r="222">
      <c r="A222" s="6" t="inlineStr">
        <is>
          <t>TR-193</t>
        </is>
      </c>
      <c r="B222" s="6" t="inlineStr">
        <is>
          <t>Retired flow</t>
        </is>
      </c>
      <c r="C222" s="6" t="inlineStr">
        <is>
          <t>Flow estate</t>
        </is>
      </c>
      <c r="D222" s="6" t="inlineStr">
        <is>
          <t>Any e-mail this flow sends</t>
        </is>
      </c>
      <c r="E222" s="6" t="inlineStr">
        <is>
          <t>Fetch_Emails_HTTP_POST</t>
        </is>
      </c>
      <c r="F222" s="6" t="inlineStr">
        <is>
          <t>29399421…</t>
        </is>
      </c>
      <c r="G222" s="6" t="inlineStr">
        <is>
          <t>orphan: no contract key and no caller</t>
        </is>
      </c>
      <c r="H222" s="6" t="n"/>
      <c r="I222" s="6" t="n"/>
      <c r="J222" s="6" t="n"/>
      <c r="K222" s="6" t="inlineStr">
        <is>
          <t>retired (registers/flow-adoption.json)</t>
        </is>
      </c>
      <c r="L222" s="6" t="inlineStr">
        <is>
          <t>No</t>
        </is>
      </c>
      <c r="M222" s="6" t="n"/>
      <c r="N222" s="6" t="n"/>
      <c r="O222" s="6" t="inlineStr">
        <is>
          <t>Turned off (owner, 6 October 2026)</t>
        </is>
      </c>
      <c r="P222" s="13" t="inlineStr">
        <is>
          <t>RETIRED</t>
        </is>
      </c>
      <c r="Q222" s="6" t="inlineStr">
        <is>
          <t>Successor: none. Delete from 2026-10-20.</t>
        </is>
      </c>
      <c r="R222" s="6" t="inlineStr">
        <is>
          <t>If it is in the tenant: turn it off, then delete it once its run history shows no call for 14 days.</t>
        </is>
      </c>
      <c r="S222" s="8" t="n"/>
      <c r="T222" s="9" t="n"/>
      <c r="U222" s="8" t="n"/>
    </row>
    <row r="223">
      <c r="A223" s="6" t="inlineStr">
        <is>
          <t>TR-194</t>
        </is>
      </c>
      <c r="B223" s="6" t="inlineStr">
        <is>
          <t>Retired flow</t>
        </is>
      </c>
      <c r="C223" s="6" t="inlineStr">
        <is>
          <t>Flow estate</t>
        </is>
      </c>
      <c r="D223" s="6" t="inlineStr">
        <is>
          <t>Any e-mail this flow sends</t>
        </is>
      </c>
      <c r="E223" s="6" t="inlineStr">
        <is>
          <t>Fetch_Emails_POST</t>
        </is>
      </c>
      <c r="F223" s="6" t="inlineStr">
        <is>
          <t>a2b43ce3…</t>
        </is>
      </c>
      <c r="G223" s="6" t="inlineStr">
        <is>
          <t>orphan: no contract key and no caller</t>
        </is>
      </c>
      <c r="H223" s="6" t="n"/>
      <c r="I223" s="6" t="n"/>
      <c r="J223" s="6" t="n"/>
      <c r="K223" s="6" t="inlineStr">
        <is>
          <t>retired (registers/flow-adoption.json)</t>
        </is>
      </c>
      <c r="L223" s="6" t="inlineStr">
        <is>
          <t>No</t>
        </is>
      </c>
      <c r="M223" s="6" t="n"/>
      <c r="N223" s="6" t="n"/>
      <c r="O223" s="6" t="inlineStr">
        <is>
          <t>Turned off (owner, 6 October 2026)</t>
        </is>
      </c>
      <c r="P223" s="13" t="inlineStr">
        <is>
          <t>RETIRED</t>
        </is>
      </c>
      <c r="Q223" s="6" t="inlineStr">
        <is>
          <t>Successor: none. Delete from 2026-10-20.</t>
        </is>
      </c>
      <c r="R223" s="6" t="inlineStr">
        <is>
          <t>If it is in the tenant: turn it off, then delete it once its run history shows no call for 14 days.</t>
        </is>
      </c>
      <c r="S223" s="8" t="n"/>
      <c r="T223" s="9" t="n"/>
      <c r="U223" s="8" t="n"/>
    </row>
    <row r="224">
      <c r="A224" s="6" t="inlineStr">
        <is>
          <t>TR-195</t>
        </is>
      </c>
      <c r="B224" s="6" t="inlineStr">
        <is>
          <t>Retired flow</t>
        </is>
      </c>
      <c r="C224" s="6" t="inlineStr">
        <is>
          <t>Flow estate</t>
        </is>
      </c>
      <c r="D224" s="6" t="inlineStr">
        <is>
          <t>Any e-mail this flow sends</t>
        </is>
      </c>
      <c r="E224" s="6" t="inlineStr">
        <is>
          <t>Get Emails HTTP</t>
        </is>
      </c>
      <c r="F224" s="6" t="inlineStr">
        <is>
          <t>e209e8a5…</t>
        </is>
      </c>
      <c r="G224" s="6" t="inlineStr">
        <is>
          <t>orphan: no contract key and no caller</t>
        </is>
      </c>
      <c r="H224" s="6" t="n"/>
      <c r="I224" s="6" t="n"/>
      <c r="J224" s="6" t="n"/>
      <c r="K224" s="6" t="inlineStr">
        <is>
          <t>retired (registers/flow-adoption.json)</t>
        </is>
      </c>
      <c r="L224" s="6" t="inlineStr">
        <is>
          <t>No</t>
        </is>
      </c>
      <c r="M224" s="6" t="n"/>
      <c r="N224" s="6" t="n"/>
      <c r="O224" s="6" t="inlineStr">
        <is>
          <t>Turned off (owner, 6 October 2026)</t>
        </is>
      </c>
      <c r="P224" s="13" t="inlineStr">
        <is>
          <t>RETIRED</t>
        </is>
      </c>
      <c r="Q224" s="6" t="inlineStr">
        <is>
          <t>Successor: none. Delete from 2026-10-20.</t>
        </is>
      </c>
      <c r="R224" s="6" t="inlineStr">
        <is>
          <t>If it is in the tenant: turn it off, then delete it once its run history shows no call for 14 days.</t>
        </is>
      </c>
      <c r="S224" s="8" t="n"/>
      <c r="T224" s="9" t="n"/>
      <c r="U224" s="8" t="n"/>
    </row>
    <row r="225">
      <c r="A225" s="6" t="inlineStr">
        <is>
          <t>TR-196</t>
        </is>
      </c>
      <c r="B225" s="6" t="inlineStr">
        <is>
          <t>Retired flow</t>
        </is>
      </c>
      <c r="C225" s="6" t="inlineStr">
        <is>
          <t>Flow estate</t>
        </is>
      </c>
      <c r="D225" s="6" t="inlineStr">
        <is>
          <t>Any e-mail this flow sends</t>
        </is>
      </c>
      <c r="E225" s="6" t="inlineStr">
        <is>
          <t>Get Correspondences</t>
        </is>
      </c>
      <c r="F225" s="6" t="inlineStr">
        <is>
          <t>4d1c9a59…</t>
        </is>
      </c>
      <c r="G225" s="6" t="inlineStr">
        <is>
          <t>orphan: no contract key and no caller</t>
        </is>
      </c>
      <c r="H225" s="6" t="n"/>
      <c r="I225" s="6" t="n"/>
      <c r="J225" s="6" t="n"/>
      <c r="K225" s="6" t="inlineStr">
        <is>
          <t>retired (registers/flow-adoption.json)</t>
        </is>
      </c>
      <c r="L225" s="6" t="inlineStr">
        <is>
          <t>No</t>
        </is>
      </c>
      <c r="M225" s="6" t="n"/>
      <c r="N225" s="6" t="n"/>
      <c r="O225" s="6" t="inlineStr">
        <is>
          <t>Turned off (owner, 6 October 2026)</t>
        </is>
      </c>
      <c r="P225" s="13" t="inlineStr">
        <is>
          <t>RETIRED</t>
        </is>
      </c>
      <c r="Q225" s="6" t="inlineStr">
        <is>
          <t>Successor: none. Delete from 2026-10-20.</t>
        </is>
      </c>
      <c r="R225" s="6" t="inlineStr">
        <is>
          <t>If it is in the tenant: turn it off, then delete it once its run history shows no call for 14 days.</t>
        </is>
      </c>
      <c r="S225" s="8" t="n"/>
      <c r="T225" s="9" t="n"/>
      <c r="U225" s="8" t="n"/>
    </row>
    <row r="226">
      <c r="A226" s="6" t="inlineStr">
        <is>
          <t>TR-197</t>
        </is>
      </c>
      <c r="B226" s="6" t="inlineStr">
        <is>
          <t>Retired flow</t>
        </is>
      </c>
      <c r="C226" s="6" t="inlineStr">
        <is>
          <t>Flow estate</t>
        </is>
      </c>
      <c r="D226" s="6" t="inlineStr">
        <is>
          <t>Any e-mail this flow sends</t>
        </is>
      </c>
      <c r="E226" s="6" t="inlineStr">
        <is>
          <t>ECM_EDM_ARCHIVE</t>
        </is>
      </c>
      <c r="F226" s="6" t="inlineStr">
        <is>
          <t>b56ce201…</t>
        </is>
      </c>
      <c r="G226" s="6" t="inlineStr">
        <is>
          <t>orphan: an HTTP flow with no contract key and no caller</t>
        </is>
      </c>
      <c r="H226" s="6" t="n"/>
      <c r="I226" s="6" t="n"/>
      <c r="J226" s="6" t="n"/>
      <c r="K226" s="6" t="inlineStr">
        <is>
          <t>retired (registers/flow-adoption.json)</t>
        </is>
      </c>
      <c r="L226" s="6" t="inlineStr">
        <is>
          <t>No</t>
        </is>
      </c>
      <c r="M226" s="6" t="n"/>
      <c r="N226" s="6" t="n"/>
      <c r="O226" s="6" t="inlineStr">
        <is>
          <t>Turned off (owner, 6 October 2026)</t>
        </is>
      </c>
      <c r="P226" s="13" t="inlineStr">
        <is>
          <t>RETIRED</t>
        </is>
      </c>
      <c r="Q226" s="6" t="inlineStr">
        <is>
          <t>Successor: none. Delete from 2026-10-20.</t>
        </is>
      </c>
      <c r="R226" s="6" t="inlineStr">
        <is>
          <t>If it is in the tenant: turn it off, then delete it once its run history shows no call for 14 days.</t>
        </is>
      </c>
      <c r="S226" s="8" t="n"/>
      <c r="T226" s="9" t="n"/>
      <c r="U226" s="8" t="n"/>
    </row>
    <row r="227">
      <c r="A227" s="6" t="inlineStr">
        <is>
          <t>TR-198</t>
        </is>
      </c>
      <c r="B227" s="6" t="inlineStr">
        <is>
          <t>Retired flow</t>
        </is>
      </c>
      <c r="C227" s="6" t="inlineStr">
        <is>
          <t>Flow estate</t>
        </is>
      </c>
      <c r="D227" s="6" t="inlineStr">
        <is>
          <t>Any e-mail this flow sends</t>
        </is>
      </c>
      <c r="E227" s="6" t="inlineStr">
        <is>
          <t>Universal Dynamic_Multi-Actions_Executor</t>
        </is>
      </c>
      <c r="F227" s="6" t="inlineStr">
        <is>
          <t>1abbe547…</t>
        </is>
      </c>
      <c r="G227" s="6" t="inlineStr">
        <is>
          <t>superseded dynamic actions flow (it also created tasks in the DEV_OPS test list)</t>
        </is>
      </c>
      <c r="H227" s="6" t="n"/>
      <c r="I227" s="6" t="n"/>
      <c r="J227" s="6" t="n"/>
      <c r="K227" s="6" t="inlineStr">
        <is>
          <t>retired (registers/flow-adoption.json)</t>
        </is>
      </c>
      <c r="L227" s="6" t="inlineStr">
        <is>
          <t>No</t>
        </is>
      </c>
      <c r="M227" s="6" t="n"/>
      <c r="N227" s="6" t="n"/>
      <c r="O227" s="6" t="inlineStr">
        <is>
          <t>Turned off (owner, 6 October 2026)</t>
        </is>
      </c>
      <c r="P227" s="13" t="inlineStr">
        <is>
          <t>RETIRED</t>
        </is>
      </c>
      <c r="Q227" s="6" t="inlineStr">
        <is>
          <t>Successor: IP_Dynamic_Global_Actions_Endpoint. Delete from 2026-10-20.</t>
        </is>
      </c>
      <c r="R227" s="6" t="inlineStr">
        <is>
          <t>If it is in the tenant: turn it off, then delete it once its run history shows no call for 14 days.</t>
        </is>
      </c>
      <c r="S227" s="8" t="n"/>
      <c r="T227" s="9" t="n"/>
      <c r="U227" s="8" t="n"/>
    </row>
    <row r="228">
      <c r="A228" s="6" t="inlineStr">
        <is>
          <t>TR-199</t>
        </is>
      </c>
      <c r="B228" s="6" t="inlineStr">
        <is>
          <t>Retired flow</t>
        </is>
      </c>
      <c r="C228" s="6" t="inlineStr">
        <is>
          <t>Flow estate</t>
        </is>
      </c>
      <c r="D228" s="6" t="inlineStr">
        <is>
          <t>Any e-mail this flow sends</t>
        </is>
      </c>
      <c r="E228" s="6" t="inlineStr">
        <is>
          <t>Dynamic_Multi-Actions (recovered)</t>
        </is>
      </c>
      <c r="F228" s="6" t="inlineStr">
        <is>
          <t>2784d4e0…</t>
        </is>
      </c>
      <c r="G228" s="6" t="inlineStr">
        <is>
          <t>superseded dynamic actions flow (it also created tasks in the DEV_OPS test list)</t>
        </is>
      </c>
      <c r="H228" s="6" t="n"/>
      <c r="I228" s="6" t="n"/>
      <c r="J228" s="6" t="n"/>
      <c r="K228" s="6" t="inlineStr">
        <is>
          <t>retired (registers/flow-adoption.json)</t>
        </is>
      </c>
      <c r="L228" s="6" t="inlineStr">
        <is>
          <t>No</t>
        </is>
      </c>
      <c r="M228" s="6" t="n"/>
      <c r="N228" s="6" t="n"/>
      <c r="O228" s="6" t="inlineStr">
        <is>
          <t>Turned off (owner, 6 October 2026)</t>
        </is>
      </c>
      <c r="P228" s="13" t="inlineStr">
        <is>
          <t>RETIRED</t>
        </is>
      </c>
      <c r="Q228" s="6" t="inlineStr">
        <is>
          <t>Successor: IP_Dynamic_Global_Actions_Endpoint. Delete from 2026-10-20.</t>
        </is>
      </c>
      <c r="R228" s="6" t="inlineStr">
        <is>
          <t>If it is in the tenant: turn it off, then delete it once its run history shows no call for 14 days.</t>
        </is>
      </c>
      <c r="S228" s="8" t="n"/>
      <c r="T228" s="9" t="n"/>
      <c r="U228" s="8" t="n"/>
    </row>
    <row r="229">
      <c r="A229" s="6" t="inlineStr">
        <is>
          <t>TR-200</t>
        </is>
      </c>
      <c r="B229" s="6" t="inlineStr">
        <is>
          <t>Retired flow</t>
        </is>
      </c>
      <c r="C229" s="6" t="inlineStr">
        <is>
          <t>Flow estate</t>
        </is>
      </c>
      <c r="D229" s="6" t="inlineStr">
        <is>
          <t>Any e-mail this flow sends</t>
        </is>
      </c>
      <c r="E229" s="6" t="inlineStr">
        <is>
          <t>Web - Subsidiary Doc Actions</t>
        </is>
      </c>
      <c r="F229" s="6" t="inlineStr">
        <is>
          <t>6d819704…</t>
        </is>
      </c>
      <c r="G229" s="6" t="inlineStr">
        <is>
          <t>superseded subsidiary actions flow</t>
        </is>
      </c>
      <c r="H229" s="6" t="n"/>
      <c r="I229" s="6" t="n"/>
      <c r="J229" s="6" t="n"/>
      <c r="K229" s="6" t="inlineStr">
        <is>
          <t>retired (registers/flow-adoption.json)</t>
        </is>
      </c>
      <c r="L229" s="6" t="inlineStr">
        <is>
          <t>No</t>
        </is>
      </c>
      <c r="M229" s="6" t="n"/>
      <c r="N229" s="6" t="n"/>
      <c r="O229" s="6" t="inlineStr">
        <is>
          <t>Turned off (owner, 6 October 2026)</t>
        </is>
      </c>
      <c r="P229" s="13" t="inlineStr">
        <is>
          <t>RETIRED</t>
        </is>
      </c>
      <c r="Q229" s="6" t="inlineStr">
        <is>
          <t>Successor: IP_Dynamic_Global_Actions_Endpoint. Delete from 2026-10-20.</t>
        </is>
      </c>
      <c r="R229" s="6" t="inlineStr">
        <is>
          <t>If it is in the tenant: turn it off, then delete it once its run history shows no call for 14 days.</t>
        </is>
      </c>
      <c r="S229" s="8" t="n"/>
      <c r="T229" s="9" t="n"/>
      <c r="U229" s="8" t="n"/>
    </row>
    <row r="230">
      <c r="A230" s="6" t="inlineStr">
        <is>
          <t>TR-201</t>
        </is>
      </c>
      <c r="B230" s="6" t="inlineStr">
        <is>
          <t>Retired flow</t>
        </is>
      </c>
      <c r="C230" s="6" t="inlineStr">
        <is>
          <t>Flow estate</t>
        </is>
      </c>
      <c r="D230" s="6" t="inlineStr">
        <is>
          <t>Any e-mail this flow sends</t>
        </is>
      </c>
      <c r="E230" s="6" t="inlineStr">
        <is>
          <t>Web - Task Update</t>
        </is>
      </c>
      <c r="F230" s="6" t="inlineStr">
        <is>
          <t>811af8bf…</t>
        </is>
      </c>
      <c r="G230" s="6" t="inlineStr">
        <is>
          <t>superseded task update flow</t>
        </is>
      </c>
      <c r="H230" s="6" t="n"/>
      <c r="I230" s="6" t="n"/>
      <c r="J230" s="6" t="n"/>
      <c r="K230" s="6" t="inlineStr">
        <is>
          <t>retired (registers/flow-adoption.json)</t>
        </is>
      </c>
      <c r="L230" s="6" t="inlineStr">
        <is>
          <t>No</t>
        </is>
      </c>
      <c r="M230" s="6" t="n"/>
      <c r="N230" s="6" t="n"/>
      <c r="O230" s="6" t="inlineStr">
        <is>
          <t>Turned off (owner, 6 October 2026)</t>
        </is>
      </c>
      <c r="P230" s="13" t="inlineStr">
        <is>
          <t>RETIRED</t>
        </is>
      </c>
      <c r="Q230" s="6" t="inlineStr">
        <is>
          <t>Successor: IP_Dynamic_Global_Actions_Endpoint. Delete from 2026-10-20.</t>
        </is>
      </c>
      <c r="R230" s="6" t="inlineStr">
        <is>
          <t>If it is in the tenant: turn it off, then delete it once its run history shows no call for 14 days.</t>
        </is>
      </c>
      <c r="S230" s="8" t="n"/>
      <c r="T230" s="9" t="n"/>
      <c r="U230" s="8" t="n"/>
    </row>
    <row r="231">
      <c r="A231" s="6" t="inlineStr">
        <is>
          <t>TR-202</t>
        </is>
      </c>
      <c r="B231" s="6" t="inlineStr">
        <is>
          <t>Retired flow</t>
        </is>
      </c>
      <c r="C231" s="6" t="inlineStr">
        <is>
          <t>Flow estate</t>
        </is>
      </c>
      <c r="D231" s="6" t="inlineStr">
        <is>
          <t>Any e-mail this flow sends</t>
        </is>
      </c>
      <c r="E231" s="6" t="inlineStr">
        <is>
          <t>IP_Subsidiary_Actions_Endpoint</t>
        </is>
      </c>
      <c r="F231" s="6" t="inlineStr">
        <is>
          <t>08da1783…</t>
        </is>
      </c>
      <c r="G231" s="6" t="inlineStr">
        <is>
          <t>superseded: implements none of the SUBSIDIARY_ACTIONS routes (ITEM-65)</t>
        </is>
      </c>
      <c r="H231" s="6" t="n"/>
      <c r="I231" s="6" t="n"/>
      <c r="J231" s="6" t="n"/>
      <c r="K231" s="6" t="inlineStr">
        <is>
          <t>retired (registers/flow-adoption.json)</t>
        </is>
      </c>
      <c r="L231" s="6" t="inlineStr">
        <is>
          <t>No</t>
        </is>
      </c>
      <c r="M231" s="6" t="n"/>
      <c r="N231" s="6" t="n"/>
      <c r="O231" s="6" t="inlineStr">
        <is>
          <t>Turned off (owner, 6 October 2026)</t>
        </is>
      </c>
      <c r="P231" s="13" t="inlineStr">
        <is>
          <t>RETIRED</t>
        </is>
      </c>
      <c r="Q231" s="6" t="inlineStr">
        <is>
          <t>Successor: IP_Dynamic_Global_Actions_Endpoint. Delete from 2026-10-20.</t>
        </is>
      </c>
      <c r="R231" s="6" t="inlineStr">
        <is>
          <t>If it is in the tenant: turn it off, then delete it once its run history shows no call for 14 days.</t>
        </is>
      </c>
      <c r="S231" s="8" t="n"/>
      <c r="T231" s="9" t="n"/>
      <c r="U231" s="8" t="n"/>
    </row>
    <row r="232">
      <c r="A232" s="6" t="inlineStr">
        <is>
          <t>TR-203</t>
        </is>
      </c>
      <c r="B232" s="6" t="inlineStr">
        <is>
          <t>Retired flow</t>
        </is>
      </c>
      <c r="C232" s="6" t="inlineStr">
        <is>
          <t>Flow estate</t>
        </is>
      </c>
      <c r="D232" s="6" t="inlineStr">
        <is>
          <t>Any e-mail this flow sends</t>
        </is>
      </c>
      <c r="E232" s="6" t="inlineStr">
        <is>
          <t>Deployed - Create Task</t>
        </is>
      </c>
      <c r="F232" s="6" t="inlineStr">
        <is>
          <t>b9d07010…</t>
        </is>
      </c>
      <c r="G232" s="6" t="inlineStr">
        <is>
          <t>superseded task creation flow</t>
        </is>
      </c>
      <c r="H232" s="6" t="n"/>
      <c r="I232" s="6" t="n"/>
      <c r="J232" s="6" t="n"/>
      <c r="K232" s="6" t="inlineStr">
        <is>
          <t>retired (registers/flow-adoption.json)</t>
        </is>
      </c>
      <c r="L232" s="6" t="inlineStr">
        <is>
          <t>No</t>
        </is>
      </c>
      <c r="M232" s="6" t="n"/>
      <c r="N232" s="6" t="n"/>
      <c r="O232" s="6" t="inlineStr">
        <is>
          <t>Turned off (owner, 6 October 2026)</t>
        </is>
      </c>
      <c r="P232" s="13" t="inlineStr">
        <is>
          <t>RETIRED</t>
        </is>
      </c>
      <c r="Q232" s="6" t="inlineStr">
        <is>
          <t>Successor: Single_Task_Assignment. Delete from 2026-10-20.</t>
        </is>
      </c>
      <c r="R232" s="6" t="inlineStr">
        <is>
          <t>If it is in the tenant: turn it off, then delete it once its run history shows no call for 14 days.</t>
        </is>
      </c>
      <c r="S232" s="8" t="n"/>
      <c r="T232" s="9" t="n"/>
      <c r="U232" s="8" t="n"/>
    </row>
    <row r="233">
      <c r="A233" s="6" t="inlineStr">
        <is>
          <t>TR-204</t>
        </is>
      </c>
      <c r="B233" s="6" t="inlineStr">
        <is>
          <t>Retired flow</t>
        </is>
      </c>
      <c r="C233" s="6" t="inlineStr">
        <is>
          <t>Flow estate</t>
        </is>
      </c>
      <c r="D233" s="6" t="inlineStr">
        <is>
          <t>Any e-mail this flow sends</t>
        </is>
      </c>
      <c r="E233" s="6" t="inlineStr">
        <is>
          <t>IP_Single_Assignment_Endpoint</t>
        </is>
      </c>
      <c r="F233" s="6" t="inlineStr">
        <is>
          <t>05825db0…</t>
        </is>
      </c>
      <c r="G233" s="6" t="inlineStr">
        <is>
          <t>duplicate: the map named it for SINGLE_ASSIGNMENT; the key runs on and was pasted into 3caf9458</t>
        </is>
      </c>
      <c r="H233" s="6" t="n"/>
      <c r="I233" s="6" t="n"/>
      <c r="J233" s="6" t="n"/>
      <c r="K233" s="6" t="inlineStr">
        <is>
          <t>retired (registers/flow-adoption.json)</t>
        </is>
      </c>
      <c r="L233" s="6" t="inlineStr">
        <is>
          <t>No</t>
        </is>
      </c>
      <c r="M233" s="6" t="n"/>
      <c r="N233" s="6" t="n"/>
      <c r="O233" s="6" t="inlineStr">
        <is>
          <t>Turned off (owner, 6 October 2026)</t>
        </is>
      </c>
      <c r="P233" s="13" t="inlineStr">
        <is>
          <t>RETIRED</t>
        </is>
      </c>
      <c r="Q233" s="6" t="inlineStr">
        <is>
          <t>Successor: Single_Task_Assignment. Delete from 2026-10-20.</t>
        </is>
      </c>
      <c r="R233" s="6" t="inlineStr">
        <is>
          <t>If it is in the tenant: turn it off, then delete it once its run history shows no call for 14 days.</t>
        </is>
      </c>
      <c r="S233" s="8" t="n"/>
      <c r="T233" s="9" t="n"/>
      <c r="U233" s="8" t="n"/>
    </row>
    <row r="234">
      <c r="A234" s="6" t="inlineStr">
        <is>
          <t>TR-205</t>
        </is>
      </c>
      <c r="B234" s="6" t="inlineStr">
        <is>
          <t>Retired flow</t>
        </is>
      </c>
      <c r="C234" s="6" t="inlineStr">
        <is>
          <t>Flow estate</t>
        </is>
      </c>
      <c r="D234" s="6" t="inlineStr">
        <is>
          <t>Any e-mail this flow sends</t>
        </is>
      </c>
      <c r="E234" s="6" t="inlineStr">
        <is>
          <t>Deployed Bulk Task Assignment_Create Task</t>
        </is>
      </c>
      <c r="F234" s="6" t="inlineStr">
        <is>
          <t>122bb363…</t>
        </is>
      </c>
      <c r="G234" s="6" t="inlineStr">
        <is>
          <t>superseded bulk assignment flow (BULK_ASSIGNMENT_DIRECT retired)</t>
        </is>
      </c>
      <c r="H234" s="6" t="n"/>
      <c r="I234" s="6" t="n"/>
      <c r="J234" s="6" t="n"/>
      <c r="K234" s="6" t="inlineStr">
        <is>
          <t>retired (registers/flow-adoption.json)</t>
        </is>
      </c>
      <c r="L234" s="6" t="inlineStr">
        <is>
          <t>No</t>
        </is>
      </c>
      <c r="M234" s="6" t="n"/>
      <c r="N234" s="6" t="n"/>
      <c r="O234" s="6" t="inlineStr">
        <is>
          <t>Turned off (owner, 6 October 2026)</t>
        </is>
      </c>
      <c r="P234" s="13" t="inlineStr">
        <is>
          <t>RETIRED</t>
        </is>
      </c>
      <c r="Q234" s="6" t="inlineStr">
        <is>
          <t>Successor: BULK_OPS_DATA_RETRIEVAL_HTTP. Delete from 2026-10-20.</t>
        </is>
      </c>
      <c r="R234" s="6" t="inlineStr">
        <is>
          <t>If it is in the tenant: turn it off, then delete it once its run history shows no call for 14 days.</t>
        </is>
      </c>
      <c r="S234" s="8" t="n"/>
      <c r="T234" s="9" t="n"/>
      <c r="U234" s="8" t="n"/>
    </row>
    <row r="235">
      <c r="A235" s="6" t="inlineStr">
        <is>
          <t>TR-206</t>
        </is>
      </c>
      <c r="B235" s="6" t="inlineStr">
        <is>
          <t>Retired flow</t>
        </is>
      </c>
      <c r="C235" s="6" t="inlineStr">
        <is>
          <t>Flow estate</t>
        </is>
      </c>
      <c r="D235" s="6" t="inlineStr">
        <is>
          <t>Any e-mail this flow sends</t>
        </is>
      </c>
      <c r="E235" s="6" t="inlineStr">
        <is>
          <t>IP_Bulk_Assign_Endpoint</t>
        </is>
      </c>
      <c r="F235" s="6" t="inlineStr">
        <is>
          <t>0d1e8df5…</t>
        </is>
      </c>
      <c r="G235" s="6" t="inlineStr">
        <is>
          <t>superseded: BULK_ASSIGNMENT_DIRECT retired</t>
        </is>
      </c>
      <c r="H235" s="6" t="n"/>
      <c r="I235" s="6" t="n"/>
      <c r="J235" s="6" t="n"/>
      <c r="K235" s="6" t="inlineStr">
        <is>
          <t>retired (registers/flow-adoption.json)</t>
        </is>
      </c>
      <c r="L235" s="6" t="inlineStr">
        <is>
          <t>No</t>
        </is>
      </c>
      <c r="M235" s="6" t="n"/>
      <c r="N235" s="6" t="n"/>
      <c r="O235" s="6" t="inlineStr">
        <is>
          <t>Turned off (owner, 6 October 2026)</t>
        </is>
      </c>
      <c r="P235" s="13" t="inlineStr">
        <is>
          <t>RETIRED</t>
        </is>
      </c>
      <c r="Q235" s="6" t="inlineStr">
        <is>
          <t>Successor: BULK_OPS_DATA_RETRIEVAL_HTTP. Delete from 2026-10-20.</t>
        </is>
      </c>
      <c r="R235" s="6" t="inlineStr">
        <is>
          <t>If it is in the tenant: turn it off, then delete it once its run history shows no call for 14 days.</t>
        </is>
      </c>
      <c r="S235" s="8" t="n"/>
      <c r="T235" s="9" t="n"/>
      <c r="U235" s="8" t="n"/>
    </row>
    <row r="236">
      <c r="A236" s="6" t="inlineStr">
        <is>
          <t>TR-207</t>
        </is>
      </c>
      <c r="B236" s="6" t="inlineStr">
        <is>
          <t>Retired flow</t>
        </is>
      </c>
      <c r="C236" s="6" t="inlineStr">
        <is>
          <t>Flow estate</t>
        </is>
      </c>
      <c r="D236" s="6" t="inlineStr">
        <is>
          <t>Any e-mail this flow sends</t>
        </is>
      </c>
      <c r="E236" s="6" t="inlineStr">
        <is>
          <t>bulk Assign direct</t>
        </is>
      </c>
      <c r="F236" s="6" t="inlineStr">
        <is>
          <t>57f137b6…</t>
        </is>
      </c>
      <c r="G236" s="6" t="inlineStr">
        <is>
          <t>superseded bulk assignment flow (it created tasks in the DEV_OPS test list)</t>
        </is>
      </c>
      <c r="H236" s="6" t="n"/>
      <c r="I236" s="6" t="n"/>
      <c r="J236" s="6" t="n"/>
      <c r="K236" s="6" t="inlineStr">
        <is>
          <t>retired (registers/flow-adoption.json)</t>
        </is>
      </c>
      <c r="L236" s="6" t="inlineStr">
        <is>
          <t>No</t>
        </is>
      </c>
      <c r="M236" s="6" t="n"/>
      <c r="N236" s="6" t="n"/>
      <c r="O236" s="6" t="inlineStr">
        <is>
          <t>Turned off (owner, 6 October 2026)</t>
        </is>
      </c>
      <c r="P236" s="13" t="inlineStr">
        <is>
          <t>RETIRED</t>
        </is>
      </c>
      <c r="Q236" s="6" t="inlineStr">
        <is>
          <t>Successor: BULK_OPS_DATA_RETRIEVAL_HTTP. Delete from 2026-10-20.</t>
        </is>
      </c>
      <c r="R236" s="6" t="inlineStr">
        <is>
          <t>If it is in the tenant: turn it off, then delete it once its run history shows no call for 14 days.</t>
        </is>
      </c>
      <c r="S236" s="8" t="n"/>
      <c r="T236" s="9" t="n"/>
      <c r="U236" s="8" t="n"/>
    </row>
    <row r="237">
      <c r="A237" s="6" t="inlineStr">
        <is>
          <t>TR-208</t>
        </is>
      </c>
      <c r="B237" s="6" t="inlineStr">
        <is>
          <t>Retired flow</t>
        </is>
      </c>
      <c r="C237" s="6" t="inlineStr">
        <is>
          <t>Flow estate</t>
        </is>
      </c>
      <c r="D237" s="6" t="inlineStr">
        <is>
          <t>Any e-mail this flow sends</t>
        </is>
      </c>
      <c r="E237" s="6" t="inlineStr">
        <is>
          <t>optimized Bulk Assign Direct</t>
        </is>
      </c>
      <c r="F237" s="6" t="inlineStr">
        <is>
          <t>9e098918…</t>
        </is>
      </c>
      <c r="G237" s="6" t="inlineStr">
        <is>
          <t>superseded bulk assignment flow</t>
        </is>
      </c>
      <c r="H237" s="6" t="n"/>
      <c r="I237" s="6" t="n"/>
      <c r="J237" s="6" t="n"/>
      <c r="K237" s="6" t="inlineStr">
        <is>
          <t>retired (registers/flow-adoption.json)</t>
        </is>
      </c>
      <c r="L237" s="6" t="inlineStr">
        <is>
          <t>No</t>
        </is>
      </c>
      <c r="M237" s="6" t="n"/>
      <c r="N237" s="6" t="n"/>
      <c r="O237" s="6" t="inlineStr">
        <is>
          <t>Turned off (owner, 6 October 2026)</t>
        </is>
      </c>
      <c r="P237" s="13" t="inlineStr">
        <is>
          <t>RETIRED</t>
        </is>
      </c>
      <c r="Q237" s="6" t="inlineStr">
        <is>
          <t>Successor: BULK_OPS_DATA_RETRIEVAL_HTTP. Delete from 2026-10-20.</t>
        </is>
      </c>
      <c r="R237" s="6" t="inlineStr">
        <is>
          <t>If it is in the tenant: turn it off, then delete it once its run history shows no call for 14 days.</t>
        </is>
      </c>
      <c r="S237" s="8" t="n"/>
      <c r="T237" s="9" t="n"/>
      <c r="U237" s="8" t="n"/>
    </row>
    <row r="238">
      <c r="A238" s="6" t="inlineStr">
        <is>
          <t>TR-209</t>
        </is>
      </c>
      <c r="B238" s="6" t="inlineStr">
        <is>
          <t>Retired flow</t>
        </is>
      </c>
      <c r="C238" s="6" t="inlineStr">
        <is>
          <t>Flow estate</t>
        </is>
      </c>
      <c r="D238" s="6" t="inlineStr">
        <is>
          <t>Any e-mail this flow sends</t>
        </is>
      </c>
      <c r="E238" s="6" t="inlineStr">
        <is>
          <t>IP_Bulk_Assignment_Endpoint</t>
        </is>
      </c>
      <c r="F238" s="6" t="inlineStr">
        <is>
          <t>f96399c6…</t>
        </is>
      </c>
      <c r="G238" s="6" t="inlineStr">
        <is>
          <t>duplicate: the map named it for BULK_ASSIGNMENT; the key was pasted into 5aab9e61</t>
        </is>
      </c>
      <c r="H238" s="6" t="n"/>
      <c r="I238" s="6" t="n"/>
      <c r="J238" s="6" t="n"/>
      <c r="K238" s="6" t="inlineStr">
        <is>
          <t>retired (registers/flow-adoption.json)</t>
        </is>
      </c>
      <c r="L238" s="6" t="inlineStr">
        <is>
          <t>No</t>
        </is>
      </c>
      <c r="M238" s="6" t="n"/>
      <c r="N238" s="6" t="n"/>
      <c r="O238" s="6" t="inlineStr">
        <is>
          <t>Turned off (owner, 6 October 2026)</t>
        </is>
      </c>
      <c r="P238" s="13" t="inlineStr">
        <is>
          <t>RETIRED</t>
        </is>
      </c>
      <c r="Q238" s="6" t="inlineStr">
        <is>
          <t>Successor: BULK_OPS_DATA_RETRIEVAL_HTTP. Delete from 2026-10-20.</t>
        </is>
      </c>
      <c r="R238" s="6" t="inlineStr">
        <is>
          <t>If it is in the tenant: turn it off, then delete it once its run history shows no call for 14 days.</t>
        </is>
      </c>
      <c r="S238" s="8" t="n"/>
      <c r="T238" s="9" t="n"/>
      <c r="U238" s="8" t="n"/>
    </row>
    <row r="239">
      <c r="A239" s="6" t="inlineStr">
        <is>
          <t>TR-210</t>
        </is>
      </c>
      <c r="B239" s="6" t="inlineStr">
        <is>
          <t>Retired flow</t>
        </is>
      </c>
      <c r="C239" s="6" t="inlineStr">
        <is>
          <t>Flow estate</t>
        </is>
      </c>
      <c r="D239" s="6" t="inlineStr">
        <is>
          <t>Any e-mail this flow sends</t>
        </is>
      </c>
      <c r="E239" s="6" t="inlineStr">
        <is>
          <t>IP_Create_Email_Assignment (Web - Email Task Created)</t>
        </is>
      </c>
      <c r="F239" s="6" t="inlineStr">
        <is>
          <t>3f2f649b…</t>
        </is>
      </c>
      <c r="G239" s="6" t="inlineStr">
        <is>
          <t>duplicate: the same definition as the adopted email-to-task flow</t>
        </is>
      </c>
      <c r="H239" s="6" t="n"/>
      <c r="I239" s="6" t="n"/>
      <c r="J239" s="6" t="n"/>
      <c r="K239" s="6" t="inlineStr">
        <is>
          <t>retired (registers/flow-adoption.json)</t>
        </is>
      </c>
      <c r="L239" s="6" t="inlineStr">
        <is>
          <t>No</t>
        </is>
      </c>
      <c r="M239" s="6" t="n"/>
      <c r="N239" s="6" t="n"/>
      <c r="O239" s="6" t="inlineStr">
        <is>
          <t>Turned off (owner, 6 October 2026)</t>
        </is>
      </c>
      <c r="P239" s="13" t="inlineStr">
        <is>
          <t>RETIRED</t>
        </is>
      </c>
      <c r="Q239" s="6" t="inlineStr">
        <is>
          <t>Successor: IP_Create__Task__for_received_Email_Endpoint. Delete from 2026-10-20.</t>
        </is>
      </c>
      <c r="R239" s="6" t="inlineStr">
        <is>
          <t>If it is in the tenant: turn it off, then delete it once its run history shows no call for 14 days.</t>
        </is>
      </c>
      <c r="S239" s="8" t="n"/>
      <c r="T239" s="9" t="n"/>
      <c r="U239" s="8" t="n"/>
    </row>
    <row r="240">
      <c r="A240" s="6" t="inlineStr">
        <is>
          <t>TR-211</t>
        </is>
      </c>
      <c r="B240" s="6" t="inlineStr">
        <is>
          <t>Retired flow</t>
        </is>
      </c>
      <c r="C240" s="6" t="inlineStr">
        <is>
          <t>Flow estate</t>
        </is>
      </c>
      <c r="D240" s="6" t="inlineStr">
        <is>
          <t>Any e-mail this flow sends</t>
        </is>
      </c>
      <c r="E240" s="6" t="inlineStr">
        <is>
          <t>IP_Create_Email_Assignment_Endpoint</t>
        </is>
      </c>
      <c r="F240" s="6" t="inlineStr">
        <is>
          <t>2fbb5485…</t>
        </is>
      </c>
      <c r="G240" s="6" t="inlineStr">
        <is>
          <t>duplicate: the same definition as the adopted email-to-task flow</t>
        </is>
      </c>
      <c r="H240" s="6" t="n"/>
      <c r="I240" s="6" t="n"/>
      <c r="J240" s="6" t="n"/>
      <c r="K240" s="6" t="inlineStr">
        <is>
          <t>retired (registers/flow-adoption.json)</t>
        </is>
      </c>
      <c r="L240" s="6" t="inlineStr">
        <is>
          <t>No</t>
        </is>
      </c>
      <c r="M240" s="6" t="n"/>
      <c r="N240" s="6" t="n"/>
      <c r="O240" s="6" t="inlineStr">
        <is>
          <t>Turned off (owner, 6 October 2026)</t>
        </is>
      </c>
      <c r="P240" s="13" t="inlineStr">
        <is>
          <t>RETIRED</t>
        </is>
      </c>
      <c r="Q240" s="6" t="inlineStr">
        <is>
          <t>Successor: IP_Create__Task__for_received_Email_Endpoint. Delete from 2026-10-20.</t>
        </is>
      </c>
      <c r="R240" s="6" t="inlineStr">
        <is>
          <t>If it is in the tenant: turn it off, then delete it once its run history shows no call for 14 days.</t>
        </is>
      </c>
      <c r="S240" s="8" t="n"/>
      <c r="T240" s="9" t="n"/>
      <c r="U240" s="8" t="n"/>
    </row>
    <row r="241">
      <c r="A241" s="6" t="inlineStr">
        <is>
          <t>TR-212</t>
        </is>
      </c>
      <c r="B241" s="6" t="inlineStr">
        <is>
          <t>Retired flow</t>
        </is>
      </c>
      <c r="C241" s="6" t="inlineStr">
        <is>
          <t>Flow estate</t>
        </is>
      </c>
      <c r="D241" s="6" t="inlineStr">
        <is>
          <t>Any e-mail this flow sends</t>
        </is>
      </c>
      <c r="E241" s="6" t="inlineStr">
        <is>
          <t>Web - Email To Task Processing</t>
        </is>
      </c>
      <c r="F241" s="6" t="inlineStr">
        <is>
          <t>447b1b4d…</t>
        </is>
      </c>
      <c r="G241" s="6" t="inlineStr">
        <is>
          <t>superseded email-to-task flow</t>
        </is>
      </c>
      <c r="H241" s="6" t="n"/>
      <c r="I241" s="6" t="n"/>
      <c r="J241" s="6" t="n"/>
      <c r="K241" s="6" t="inlineStr">
        <is>
          <t>retired (registers/flow-adoption.json)</t>
        </is>
      </c>
      <c r="L241" s="6" t="inlineStr">
        <is>
          <t>No</t>
        </is>
      </c>
      <c r="M241" s="6" t="n"/>
      <c r="N241" s="6" t="n"/>
      <c r="O241" s="6" t="inlineStr">
        <is>
          <t>Turned off (owner, 6 October 2026)</t>
        </is>
      </c>
      <c r="P241" s="13" t="inlineStr">
        <is>
          <t>RETIRED</t>
        </is>
      </c>
      <c r="Q241" s="6" t="inlineStr">
        <is>
          <t>Successor: IP_Create__Task__for_received_Email_Endpoint. Delete from 2026-10-20.</t>
        </is>
      </c>
      <c r="R241" s="6" t="inlineStr">
        <is>
          <t>If it is in the tenant: turn it off, then delete it once its run history shows no call for 14 days.</t>
        </is>
      </c>
      <c r="S241" s="8" t="n"/>
      <c r="T241" s="9" t="n"/>
      <c r="U241" s="8" t="n"/>
    </row>
    <row r="242">
      <c r="A242" s="6" t="inlineStr">
        <is>
          <t>TR-213</t>
        </is>
      </c>
      <c r="B242" s="6" t="inlineStr">
        <is>
          <t>Retired flow</t>
        </is>
      </c>
      <c r="C242" s="6" t="inlineStr">
        <is>
          <t>Flow estate</t>
        </is>
      </c>
      <c r="D242" s="6" t="inlineStr">
        <is>
          <t>Any e-mail this flow sends</t>
        </is>
      </c>
      <c r="E242" s="6" t="inlineStr">
        <is>
          <t>DGO_AI_Assist</t>
        </is>
      </c>
      <c r="F242" s="6" t="inlineStr">
        <is>
          <t>89925df0…</t>
        </is>
      </c>
      <c r="G242" s="6" t="inlineStr">
        <is>
          <t>superseded AI flow</t>
        </is>
      </c>
      <c r="H242" s="6" t="n"/>
      <c r="I242" s="6" t="n"/>
      <c r="J242" s="6" t="n"/>
      <c r="K242" s="6" t="inlineStr">
        <is>
          <t>retired (registers/flow-adoption.json)</t>
        </is>
      </c>
      <c r="L242" s="6" t="inlineStr">
        <is>
          <t>No</t>
        </is>
      </c>
      <c r="M242" s="6" t="n"/>
      <c r="N242" s="6" t="n"/>
      <c r="O242" s="6" t="inlineStr">
        <is>
          <t>Turned off (owner, 6 October 2026)</t>
        </is>
      </c>
      <c r="P242" s="13" t="inlineStr">
        <is>
          <t>RETIRED</t>
        </is>
      </c>
      <c r="Q242" s="6" t="inlineStr">
        <is>
          <t>Successor: AI_Document_Processing. Delete from 2026-10-20.</t>
        </is>
      </c>
      <c r="R242" s="6" t="inlineStr">
        <is>
          <t>If it is in the tenant: turn it off, then delete it once its run history shows no call for 14 days.</t>
        </is>
      </c>
      <c r="S242" s="8" t="n"/>
      <c r="T242" s="9" t="n"/>
      <c r="U242" s="8" t="n"/>
    </row>
    <row r="243">
      <c r="A243" s="6" t="inlineStr">
        <is>
          <t>TR-214</t>
        </is>
      </c>
      <c r="B243" s="6" t="inlineStr">
        <is>
          <t>Retired flow</t>
        </is>
      </c>
      <c r="C243" s="6" t="inlineStr">
        <is>
          <t>Flow estate</t>
        </is>
      </c>
      <c r="D243" s="6" t="inlineStr">
        <is>
          <t>Any e-mail this flow sends</t>
        </is>
      </c>
      <c r="E243" s="6" t="inlineStr">
        <is>
          <t>Digital Hub Email AI Assist</t>
        </is>
      </c>
      <c r="F243" s="6" t="inlineStr">
        <is>
          <t>34761736…</t>
        </is>
      </c>
      <c r="G243" s="6" t="inlineStr">
        <is>
          <t>superseded AI flow</t>
        </is>
      </c>
      <c r="H243" s="6" t="n"/>
      <c r="I243" s="6" t="n"/>
      <c r="J243" s="6" t="n"/>
      <c r="K243" s="6" t="inlineStr">
        <is>
          <t>retired (registers/flow-adoption.json)</t>
        </is>
      </c>
      <c r="L243" s="6" t="inlineStr">
        <is>
          <t>No</t>
        </is>
      </c>
      <c r="M243" s="6" t="n"/>
      <c r="N243" s="6" t="n"/>
      <c r="O243" s="6" t="inlineStr">
        <is>
          <t>Turned off (owner, 6 October 2026)</t>
        </is>
      </c>
      <c r="P243" s="13" t="inlineStr">
        <is>
          <t>RETIRED</t>
        </is>
      </c>
      <c r="Q243" s="6" t="inlineStr">
        <is>
          <t>Successor: AI_Document_Processing. Delete from 2026-10-20.</t>
        </is>
      </c>
      <c r="R243" s="6" t="inlineStr">
        <is>
          <t>If it is in the tenant: turn it off, then delete it once its run history shows no call for 14 days.</t>
        </is>
      </c>
      <c r="S243" s="8" t="n"/>
      <c r="T243" s="9" t="n"/>
      <c r="U243" s="8" t="n"/>
    </row>
    <row r="244">
      <c r="A244" s="6" t="inlineStr">
        <is>
          <t>TR-215</t>
        </is>
      </c>
      <c r="B244" s="6" t="inlineStr">
        <is>
          <t>Retired flow</t>
        </is>
      </c>
      <c r="C244" s="6" t="inlineStr">
        <is>
          <t>Flow estate</t>
        </is>
      </c>
      <c r="D244" s="6" t="inlineStr">
        <is>
          <t>Any e-mail this flow sends</t>
        </is>
      </c>
      <c r="E244" s="6" t="inlineStr">
        <is>
          <t>Web - Email AI Assist</t>
        </is>
      </c>
      <c r="F244" s="6" t="inlineStr">
        <is>
          <t>aacdf9d5…</t>
        </is>
      </c>
      <c r="G244" s="6" t="inlineStr">
        <is>
          <t>superseded AI flow</t>
        </is>
      </c>
      <c r="H244" s="6" t="n"/>
      <c r="I244" s="6" t="n"/>
      <c r="J244" s="6" t="n"/>
      <c r="K244" s="6" t="inlineStr">
        <is>
          <t>retired (registers/flow-adoption.json)</t>
        </is>
      </c>
      <c r="L244" s="6" t="inlineStr">
        <is>
          <t>No</t>
        </is>
      </c>
      <c r="M244" s="6" t="n"/>
      <c r="N244" s="6" t="n"/>
      <c r="O244" s="6" t="inlineStr">
        <is>
          <t>Turned off (owner, 6 October 2026)</t>
        </is>
      </c>
      <c r="P244" s="13" t="inlineStr">
        <is>
          <t>RETIRED</t>
        </is>
      </c>
      <c r="Q244" s="6" t="inlineStr">
        <is>
          <t>Successor: AI_Document_Processing. Delete from 2026-10-20.</t>
        </is>
      </c>
      <c r="R244" s="6" t="inlineStr">
        <is>
          <t>If it is in the tenant: turn it off, then delete it once its run history shows no call for 14 days.</t>
        </is>
      </c>
      <c r="S244" s="8" t="n"/>
      <c r="T244" s="9" t="n"/>
      <c r="U244" s="8" t="n"/>
    </row>
    <row r="245">
      <c r="A245" s="6" t="inlineStr">
        <is>
          <t>TR-216</t>
        </is>
      </c>
      <c r="B245" s="6" t="inlineStr">
        <is>
          <t>Retired flow</t>
        </is>
      </c>
      <c r="C245" s="6" t="inlineStr">
        <is>
          <t>Flow estate</t>
        </is>
      </c>
      <c r="D245" s="6" t="inlineStr">
        <is>
          <t>Any e-mail this flow sends</t>
        </is>
      </c>
      <c r="E245" s="6" t="inlineStr">
        <is>
          <t>Web - Preprocess user message</t>
        </is>
      </c>
      <c r="F245" s="6" t="inlineStr">
        <is>
          <t>fdd3f24e…</t>
        </is>
      </c>
      <c r="G245" s="6" t="inlineStr">
        <is>
          <t>superseded AI flow</t>
        </is>
      </c>
      <c r="H245" s="6" t="n"/>
      <c r="I245" s="6" t="n"/>
      <c r="J245" s="6" t="n"/>
      <c r="K245" s="6" t="inlineStr">
        <is>
          <t>retired (registers/flow-adoption.json)</t>
        </is>
      </c>
      <c r="L245" s="6" t="inlineStr">
        <is>
          <t>No</t>
        </is>
      </c>
      <c r="M245" s="6" t="n"/>
      <c r="N245" s="6" t="n"/>
      <c r="O245" s="6" t="inlineStr">
        <is>
          <t>Turned off (owner, 6 October 2026)</t>
        </is>
      </c>
      <c r="P245" s="13" t="inlineStr">
        <is>
          <t>RETIRED</t>
        </is>
      </c>
      <c r="Q245" s="6" t="inlineStr">
        <is>
          <t>Successor: AI_Document_Processing. Delete from 2026-10-20.</t>
        </is>
      </c>
      <c r="R245" s="6" t="inlineStr">
        <is>
          <t>If it is in the tenant: turn it off, then delete it once its run history shows no call for 14 days.</t>
        </is>
      </c>
      <c r="S245" s="8" t="n"/>
      <c r="T245" s="9" t="n"/>
      <c r="U245" s="8" t="n"/>
    </row>
    <row r="246">
      <c r="A246" s="6" t="inlineStr">
        <is>
          <t>TR-217</t>
        </is>
      </c>
      <c r="B246" s="6" t="inlineStr">
        <is>
          <t>Retired flow</t>
        </is>
      </c>
      <c r="C246" s="6" t="inlineStr">
        <is>
          <t>Flow estate</t>
        </is>
      </c>
      <c r="D246" s="6" t="inlineStr">
        <is>
          <t>Any e-mail this flow sends</t>
        </is>
      </c>
      <c r="E246" s="6" t="inlineStr">
        <is>
          <t>Instant OpenRouter AI Chat</t>
        </is>
      </c>
      <c r="F246" s="6" t="inlineStr">
        <is>
          <t>98fb5275…</t>
        </is>
      </c>
      <c r="G246" s="6" t="inlineStr">
        <is>
          <t>superseded AI flow</t>
        </is>
      </c>
      <c r="H246" s="6" t="n"/>
      <c r="I246" s="6" t="n"/>
      <c r="J246" s="6" t="n"/>
      <c r="K246" s="6" t="inlineStr">
        <is>
          <t>retired (registers/flow-adoption.json)</t>
        </is>
      </c>
      <c r="L246" s="6" t="inlineStr">
        <is>
          <t>No</t>
        </is>
      </c>
      <c r="M246" s="6" t="n"/>
      <c r="N246" s="6" t="n"/>
      <c r="O246" s="6" t="inlineStr">
        <is>
          <t>Turned off (owner, 6 October 2026)</t>
        </is>
      </c>
      <c r="P246" s="13" t="inlineStr">
        <is>
          <t>RETIRED</t>
        </is>
      </c>
      <c r="Q246" s="6" t="inlineStr">
        <is>
          <t>Successor: AI_Document_Processing. Delete from 2026-10-20.</t>
        </is>
      </c>
      <c r="R246" s="6" t="inlineStr">
        <is>
          <t>If it is in the tenant: turn it off, then delete it once its run history shows no call for 14 days.</t>
        </is>
      </c>
      <c r="S246" s="8" t="n"/>
      <c r="T246" s="9" t="n"/>
      <c r="U246" s="8" t="n"/>
    </row>
    <row r="247">
      <c r="A247" s="6" t="inlineStr">
        <is>
          <t>TR-218</t>
        </is>
      </c>
      <c r="B247" s="6" t="inlineStr">
        <is>
          <t>Retired flow</t>
        </is>
      </c>
      <c r="C247" s="6" t="inlineStr">
        <is>
          <t>Flow estate</t>
        </is>
      </c>
      <c r="D247" s="6" t="inlineStr">
        <is>
          <t>Any e-mail this flow sends</t>
        </is>
      </c>
      <c r="E247" s="6" t="inlineStr">
        <is>
          <t>Persistent GPT AI Chat in App</t>
        </is>
      </c>
      <c r="F247" s="6" t="inlineStr">
        <is>
          <t>033e5d70…</t>
        </is>
      </c>
      <c r="G247" s="6" t="inlineStr">
        <is>
          <t>superseded AI flow</t>
        </is>
      </c>
      <c r="H247" s="6" t="n"/>
      <c r="I247" s="6" t="n"/>
      <c r="J247" s="6" t="n"/>
      <c r="K247" s="6" t="inlineStr">
        <is>
          <t>retired (registers/flow-adoption.json)</t>
        </is>
      </c>
      <c r="L247" s="6" t="inlineStr">
        <is>
          <t>No</t>
        </is>
      </c>
      <c r="M247" s="6" t="n"/>
      <c r="N247" s="6" t="n"/>
      <c r="O247" s="6" t="inlineStr">
        <is>
          <t>Turned off (owner, 6 October 2026)</t>
        </is>
      </c>
      <c r="P247" s="13" t="inlineStr">
        <is>
          <t>RETIRED</t>
        </is>
      </c>
      <c r="Q247" s="6" t="inlineStr">
        <is>
          <t>Successor: AI_Document_Processing. Delete from 2026-10-20.</t>
        </is>
      </c>
      <c r="R247" s="6" t="inlineStr">
        <is>
          <t>If it is in the tenant: turn it off, then delete it once its run history shows no call for 14 days.</t>
        </is>
      </c>
      <c r="S247" s="8" t="n"/>
      <c r="T247" s="9" t="n"/>
      <c r="U247" s="8" t="n"/>
    </row>
    <row r="248">
      <c r="A248" s="6" t="inlineStr">
        <is>
          <t>TR-219</t>
        </is>
      </c>
      <c r="B248" s="6" t="inlineStr">
        <is>
          <t>Retired flow</t>
        </is>
      </c>
      <c r="C248" s="6" t="inlineStr">
        <is>
          <t>Flow estate</t>
        </is>
      </c>
      <c r="D248" s="6" t="inlineStr">
        <is>
          <t>Any e-mail this flow sends</t>
        </is>
      </c>
      <c r="E248" s="6" t="inlineStr">
        <is>
          <t>IP_OTP_Endpoint</t>
        </is>
      </c>
      <c r="F248" s="6" t="inlineStr">
        <is>
          <t>5d0d0a72…</t>
        </is>
      </c>
      <c r="G248" s="6" t="inlineStr">
        <is>
          <t>duplicate one-time code flow</t>
        </is>
      </c>
      <c r="H248" s="6" t="n"/>
      <c r="I248" s="6" t="n"/>
      <c r="J248" s="6" t="n"/>
      <c r="K248" s="6" t="inlineStr">
        <is>
          <t>retired (registers/flow-adoption.json)</t>
        </is>
      </c>
      <c r="L248" s="6" t="inlineStr">
        <is>
          <t>No</t>
        </is>
      </c>
      <c r="M248" s="6" t="n"/>
      <c r="N248" s="6" t="n"/>
      <c r="O248" s="6" t="inlineStr">
        <is>
          <t>Turned off (owner, 6 October 2026)</t>
        </is>
      </c>
      <c r="P248" s="13" t="inlineStr">
        <is>
          <t>RETIRED</t>
        </is>
      </c>
      <c r="Q248" s="6" t="inlineStr">
        <is>
          <t>Successor: IP_OTP_VERIFY. Delete from 2026-10-20.</t>
        </is>
      </c>
      <c r="R248" s="6" t="inlineStr">
        <is>
          <t>If it is in the tenant: turn it off, then delete it once its run history shows no call for 14 days.</t>
        </is>
      </c>
      <c r="S248" s="8" t="n"/>
      <c r="T248" s="9" t="n"/>
      <c r="U248" s="8" t="n"/>
    </row>
    <row r="249">
      <c r="A249" s="6" t="inlineStr">
        <is>
          <t>TR-220</t>
        </is>
      </c>
      <c r="B249" s="6" t="inlineStr">
        <is>
          <t>Retired flow</t>
        </is>
      </c>
      <c r="C249" s="6" t="inlineStr">
        <is>
          <t>Flow estate</t>
        </is>
      </c>
      <c r="D249" s="6" t="inlineStr">
        <is>
          <t>Any e-mail this flow sends</t>
        </is>
      </c>
      <c r="E249" s="6" t="inlineStr">
        <is>
          <t>IP_OTP_Endpoint (map)</t>
        </is>
      </c>
      <c r="F249" s="6" t="inlineStr">
        <is>
          <t>913bd078…</t>
        </is>
      </c>
      <c r="G249" s="6" t="inlineStr">
        <is>
          <t>duplicate: the map named it for OTP_GENERATE; the key runs on 4dbe6dde</t>
        </is>
      </c>
      <c r="H249" s="6" t="n"/>
      <c r="I249" s="6" t="n"/>
      <c r="J249" s="6" t="n"/>
      <c r="K249" s="6" t="inlineStr">
        <is>
          <t>retired (registers/flow-adoption.json)</t>
        </is>
      </c>
      <c r="L249" s="6" t="inlineStr">
        <is>
          <t>No</t>
        </is>
      </c>
      <c r="M249" s="6" t="n"/>
      <c r="N249" s="6" t="n"/>
      <c r="O249" s="6" t="inlineStr">
        <is>
          <t>Turned off (owner, 6 October 2026)</t>
        </is>
      </c>
      <c r="P249" s="13" t="inlineStr">
        <is>
          <t>RETIRED</t>
        </is>
      </c>
      <c r="Q249" s="6" t="inlineStr">
        <is>
          <t>Successor: IP_OTP_VERIFY. Delete from 2026-10-20.</t>
        </is>
      </c>
      <c r="R249" s="6" t="inlineStr">
        <is>
          <t>If it is in the tenant: turn it off, then delete it once its run history shows no call for 14 days.</t>
        </is>
      </c>
      <c r="S249" s="8" t="n"/>
      <c r="T249" s="9" t="n"/>
      <c r="U249" s="8" t="n"/>
    </row>
    <row r="250">
      <c r="A250" s="6" t="inlineStr">
        <is>
          <t>TR-221</t>
        </is>
      </c>
      <c r="B250" s="6" t="inlineStr">
        <is>
          <t>Retired flow</t>
        </is>
      </c>
      <c r="C250" s="6" t="inlineStr">
        <is>
          <t>Flow estate</t>
        </is>
      </c>
      <c r="D250" s="6" t="inlineStr">
        <is>
          <t>Any e-mail this flow sends</t>
        </is>
      </c>
      <c r="E250" s="6" t="inlineStr">
        <is>
          <t>IP_OTP_VERIFY (2026-09-04 build)</t>
        </is>
      </c>
      <c r="F250" s="6" t="inlineStr">
        <is>
          <t>c5e314c7…</t>
        </is>
      </c>
      <c r="G250" s="6" t="inlineStr">
        <is>
          <t>duplicate one-time code flow, not bound to any key</t>
        </is>
      </c>
      <c r="H250" s="6" t="n"/>
      <c r="I250" s="6" t="n"/>
      <c r="J250" s="6" t="n"/>
      <c r="K250" s="6" t="inlineStr">
        <is>
          <t>retired (registers/flow-adoption.json)</t>
        </is>
      </c>
      <c r="L250" s="6" t="inlineStr">
        <is>
          <t>No</t>
        </is>
      </c>
      <c r="M250" s="6" t="n"/>
      <c r="N250" s="6" t="n"/>
      <c r="O250" s="6" t="inlineStr">
        <is>
          <t>Turned off (owner, 6 October 2026)</t>
        </is>
      </c>
      <c r="P250" s="13" t="inlineStr">
        <is>
          <t>RETIRED</t>
        </is>
      </c>
      <c r="Q250" s="6" t="inlineStr">
        <is>
          <t>Successor: IP_OTP_VERIFY. Delete from 2026-10-20.</t>
        </is>
      </c>
      <c r="R250" s="6" t="inlineStr">
        <is>
          <t>If it is in the tenant: turn it off, then delete it once its run history shows no call for 14 days.</t>
        </is>
      </c>
      <c r="S250" s="8" t="n"/>
      <c r="T250" s="9" t="n"/>
      <c r="U250" s="8" t="n"/>
    </row>
    <row r="251">
      <c r="A251" s="6" t="inlineStr">
        <is>
          <t>TR-222</t>
        </is>
      </c>
      <c r="B251" s="6" t="inlineStr">
        <is>
          <t>Retired flow</t>
        </is>
      </c>
      <c r="C251" s="6" t="inlineStr">
        <is>
          <t>Flow estate</t>
        </is>
      </c>
      <c r="D251" s="6" t="inlineStr">
        <is>
          <t>Any e-mail this flow sends</t>
        </is>
      </c>
      <c r="E251" s="6" t="inlineStr">
        <is>
          <t>Web - OTP Generate</t>
        </is>
      </c>
      <c r="F251" s="6" t="inlineStr">
        <is>
          <t>a03d0ae8…</t>
        </is>
      </c>
      <c r="G251" s="6" t="inlineStr">
        <is>
          <t>superseded one-time code flow</t>
        </is>
      </c>
      <c r="H251" s="6" t="n"/>
      <c r="I251" s="6" t="n"/>
      <c r="J251" s="6" t="n"/>
      <c r="K251" s="6" t="inlineStr">
        <is>
          <t>retired (registers/flow-adoption.json)</t>
        </is>
      </c>
      <c r="L251" s="6" t="inlineStr">
        <is>
          <t>No</t>
        </is>
      </c>
      <c r="M251" s="6" t="n"/>
      <c r="N251" s="6" t="n"/>
      <c r="O251" s="6" t="inlineStr">
        <is>
          <t>Turned off (owner, 6 October 2026)</t>
        </is>
      </c>
      <c r="P251" s="13" t="inlineStr">
        <is>
          <t>RETIRED</t>
        </is>
      </c>
      <c r="Q251" s="6" t="inlineStr">
        <is>
          <t>Successor: IP_OTP_VERIFY. Delete from 2026-10-20.</t>
        </is>
      </c>
      <c r="R251" s="6" t="inlineStr">
        <is>
          <t>If it is in the tenant: turn it off, then delete it once its run history shows no call for 14 days.</t>
        </is>
      </c>
      <c r="S251" s="8" t="n"/>
      <c r="T251" s="9" t="n"/>
      <c r="U251" s="8" t="n"/>
    </row>
    <row r="252">
      <c r="A252" s="6" t="inlineStr">
        <is>
          <t>TR-223</t>
        </is>
      </c>
      <c r="B252" s="6" t="inlineStr">
        <is>
          <t>Retired flow</t>
        </is>
      </c>
      <c r="C252" s="6" t="inlineStr">
        <is>
          <t>Flow estate</t>
        </is>
      </c>
      <c r="D252" s="6" t="inlineStr">
        <is>
          <t>Any e-mail this flow sends</t>
        </is>
      </c>
      <c r="E252" s="6" t="inlineStr">
        <is>
          <t>Web - OTP Verify</t>
        </is>
      </c>
      <c r="F252" s="6" t="inlineStr">
        <is>
          <t>3e201620…</t>
        </is>
      </c>
      <c r="G252" s="6" t="inlineStr">
        <is>
          <t>superseded one-time code flow (the defective one, ITEM-43)</t>
        </is>
      </c>
      <c r="H252" s="6" t="n"/>
      <c r="I252" s="6" t="n"/>
      <c r="J252" s="6" t="n"/>
      <c r="K252" s="6" t="inlineStr">
        <is>
          <t>retired (registers/flow-adoption.json)</t>
        </is>
      </c>
      <c r="L252" s="6" t="inlineStr">
        <is>
          <t>No</t>
        </is>
      </c>
      <c r="M252" s="6" t="n"/>
      <c r="N252" s="6" t="n"/>
      <c r="O252" s="6" t="inlineStr">
        <is>
          <t>Turned off (owner, 6 October 2026)</t>
        </is>
      </c>
      <c r="P252" s="13" t="inlineStr">
        <is>
          <t>RETIRED</t>
        </is>
      </c>
      <c r="Q252" s="6" t="inlineStr">
        <is>
          <t>Successor: IP_OTP_VERIFY. Delete from 2026-10-20.</t>
        </is>
      </c>
      <c r="R252" s="6" t="inlineStr">
        <is>
          <t>If it is in the tenant: turn it off, then delete it once its run history shows no call for 14 days.</t>
        </is>
      </c>
      <c r="S252" s="8" t="n"/>
      <c r="T252" s="9" t="n"/>
      <c r="U252" s="8" t="n"/>
    </row>
    <row r="253">
      <c r="A253" s="6" t="inlineStr">
        <is>
          <t>TR-224</t>
        </is>
      </c>
      <c r="B253" s="6" t="inlineStr">
        <is>
          <t>Retired flow</t>
        </is>
      </c>
      <c r="C253" s="6" t="inlineStr">
        <is>
          <t>Flow estate</t>
        </is>
      </c>
      <c r="D253" s="6" t="inlineStr">
        <is>
          <t>Any e-mail this flow sends</t>
        </is>
      </c>
      <c r="E253" s="6" t="inlineStr">
        <is>
          <t>IP_SCAN_INTAKE_Endpoint_v2.1</t>
        </is>
      </c>
      <c r="F253" s="6" t="inlineStr">
        <is>
          <t>12b6e690…</t>
        </is>
      </c>
      <c r="G253" s="6" t="inlineStr">
        <is>
          <t>duplicate: the map named it for SCAN_INTAKE; the key runs on and was pasted into 5504d7f9</t>
        </is>
      </c>
      <c r="H253" s="6" t="n"/>
      <c r="I253" s="6" t="n"/>
      <c r="J253" s="6" t="n"/>
      <c r="K253" s="6" t="inlineStr">
        <is>
          <t>retired (registers/flow-adoption.json)</t>
        </is>
      </c>
      <c r="L253" s="6" t="inlineStr">
        <is>
          <t>No</t>
        </is>
      </c>
      <c r="M253" s="6" t="n"/>
      <c r="N253" s="6" t="n"/>
      <c r="O253" s="6" t="inlineStr">
        <is>
          <t>Turned off (owner, 6 October 2026)</t>
        </is>
      </c>
      <c r="P253" s="13" t="inlineStr">
        <is>
          <t>RETIRED</t>
        </is>
      </c>
      <c r="Q253" s="6" t="inlineStr">
        <is>
          <t>Successor: IP_SCAN_INTAKE. Delete from 2026-10-20.</t>
        </is>
      </c>
      <c r="R253" s="6" t="inlineStr">
        <is>
          <t>If it is in the tenant: turn it off, then delete it once its run history shows no call for 14 days.</t>
        </is>
      </c>
      <c r="S253" s="8" t="n"/>
      <c r="T253" s="9" t="n"/>
      <c r="U253" s="8" t="n"/>
    </row>
    <row r="254">
      <c r="A254" s="6" t="inlineStr">
        <is>
          <t>TR-225</t>
        </is>
      </c>
      <c r="B254" s="6" t="inlineStr">
        <is>
          <t>Retired flow</t>
        </is>
      </c>
      <c r="C254" s="6" t="inlineStr">
        <is>
          <t>Flow estate</t>
        </is>
      </c>
      <c r="D254" s="6" t="inlineStr">
        <is>
          <t>Any e-mail this flow sends</t>
        </is>
      </c>
      <c r="E254" s="6" t="inlineStr">
        <is>
          <t>Global_Gap_Remediation_Provisioning</t>
        </is>
      </c>
      <c r="F254" s="6" t="inlineStr">
        <is>
          <t>3f96478b…</t>
        </is>
      </c>
      <c r="G254" s="6" t="inlineStr">
        <is>
          <t>one-off: provisioning done</t>
        </is>
      </c>
      <c r="H254" s="6" t="n"/>
      <c r="I254" s="6" t="n"/>
      <c r="J254" s="6" t="n"/>
      <c r="K254" s="6" t="inlineStr">
        <is>
          <t>retired (registers/flow-adoption.json)</t>
        </is>
      </c>
      <c r="L254" s="6" t="inlineStr">
        <is>
          <t>No</t>
        </is>
      </c>
      <c r="M254" s="6" t="n"/>
      <c r="N254" s="6" t="n"/>
      <c r="O254" s="6" t="inlineStr">
        <is>
          <t>Turned off (owner, 6 October 2026)</t>
        </is>
      </c>
      <c r="P254" s="13" t="inlineStr">
        <is>
          <t>RETIRED</t>
        </is>
      </c>
      <c r="Q254" s="6" t="inlineStr">
        <is>
          <t>Successor: none. Delete from 2026-10-20.</t>
        </is>
      </c>
      <c r="R254" s="6" t="inlineStr">
        <is>
          <t>If it is in the tenant: turn it off, then delete it once its run history shows no call for 14 days.</t>
        </is>
      </c>
      <c r="S254" s="8" t="n"/>
      <c r="T254" s="9" t="n"/>
      <c r="U254" s="8" t="n"/>
    </row>
    <row r="255">
      <c r="A255" s="6" t="inlineStr">
        <is>
          <t>TR-226</t>
        </is>
      </c>
      <c r="B255" s="6" t="inlineStr">
        <is>
          <t>Retired flow</t>
        </is>
      </c>
      <c r="C255" s="6" t="inlineStr">
        <is>
          <t>Flow estate</t>
        </is>
      </c>
      <c r="D255" s="6" t="inlineStr">
        <is>
          <t>Any e-mail this flow sends</t>
        </is>
      </c>
      <c r="E255" s="6" t="inlineStr">
        <is>
          <t>Portal_Datta_Architecture_Provisioning</t>
        </is>
      </c>
      <c r="F255" s="6" t="inlineStr">
        <is>
          <t>b340affe…</t>
        </is>
      </c>
      <c r="G255" s="6" t="inlineStr">
        <is>
          <t>one-off: provisioning done</t>
        </is>
      </c>
      <c r="H255" s="6" t="n"/>
      <c r="I255" s="6" t="n"/>
      <c r="J255" s="6" t="n"/>
      <c r="K255" s="6" t="inlineStr">
        <is>
          <t>retired (registers/flow-adoption.json)</t>
        </is>
      </c>
      <c r="L255" s="6" t="inlineStr">
        <is>
          <t>No</t>
        </is>
      </c>
      <c r="M255" s="6" t="n"/>
      <c r="N255" s="6" t="n"/>
      <c r="O255" s="6" t="inlineStr">
        <is>
          <t>Turned off (owner, 6 October 2026)</t>
        </is>
      </c>
      <c r="P255" s="13" t="inlineStr">
        <is>
          <t>RETIRED</t>
        </is>
      </c>
      <c r="Q255" s="6" t="inlineStr">
        <is>
          <t>Successor: none. Delete from 2026-10-20.</t>
        </is>
      </c>
      <c r="R255" s="6" t="inlineStr">
        <is>
          <t>If it is in the tenant: turn it off, then delete it once its run history shows no call for 14 days.</t>
        </is>
      </c>
      <c r="S255" s="8" t="n"/>
      <c r="T255" s="9" t="n"/>
      <c r="U255" s="8" t="n"/>
    </row>
    <row r="256">
      <c r="A256" s="6" t="inlineStr">
        <is>
          <t>TR-227</t>
        </is>
      </c>
      <c r="B256" s="6" t="inlineStr">
        <is>
          <t>Retired flow</t>
        </is>
      </c>
      <c r="C256" s="6" t="inlineStr">
        <is>
          <t>Flow estate</t>
        </is>
      </c>
      <c r="D256" s="6" t="inlineStr">
        <is>
          <t>Any e-mail this flow sends</t>
        </is>
      </c>
      <c r="E256" s="6" t="inlineStr">
        <is>
          <t>Repair the DGO_* governance lists</t>
        </is>
      </c>
      <c r="F256" s="6" t="inlineStr">
        <is>
          <t>bc095fa2…</t>
        </is>
      </c>
      <c r="G256" s="6" t="inlineStr">
        <is>
          <t>one-off repair tool; GOV-10: aimed at the non-authoritative site and deletes columns it does not recognise (turned off 2026-10-08, evidence/2026-10-08-closure-o</t>
        </is>
      </c>
      <c r="H256" s="6" t="n"/>
      <c r="I256" s="6" t="n"/>
      <c r="J256" s="6" t="n"/>
      <c r="K256" s="6" t="inlineStr">
        <is>
          <t>retired (registers/flow-adoption.json)</t>
        </is>
      </c>
      <c r="L256" s="6" t="inlineStr">
        <is>
          <t>No</t>
        </is>
      </c>
      <c r="M256" s="6" t="n"/>
      <c r="N256" s="6" t="n"/>
      <c r="O256" s="6" t="inlineStr">
        <is>
          <t>Turned off (owner, 6 October 2026)</t>
        </is>
      </c>
      <c r="P256" s="13" t="inlineStr">
        <is>
          <t>RETIRED</t>
        </is>
      </c>
      <c r="Q256" s="6" t="inlineStr">
        <is>
          <t>Successor: none. Delete from 2026-10-20.</t>
        </is>
      </c>
      <c r="R256" s="6" t="inlineStr">
        <is>
          <t>If it is in the tenant: turn it off, then delete it once its run history shows no call for 14 days.</t>
        </is>
      </c>
      <c r="S256" s="8" t="n"/>
      <c r="T256" s="9" t="n"/>
      <c r="U256" s="8" t="n"/>
    </row>
    <row r="257">
      <c r="A257" s="6" t="inlineStr">
        <is>
          <t>TR-228</t>
        </is>
      </c>
      <c r="B257" s="6" t="inlineStr">
        <is>
          <t>Retired flow</t>
        </is>
      </c>
      <c r="C257" s="6" t="inlineStr">
        <is>
          <t>Flow estate</t>
        </is>
      </c>
      <c r="D257" s="6" t="inlineStr">
        <is>
          <t>Any e-mail this flow sends</t>
        </is>
      </c>
      <c r="E257" s="6" t="inlineStr">
        <is>
          <t>ECM_DOCS_INTAKE</t>
        </is>
      </c>
      <c r="F257" s="6" t="inlineStr">
        <is>
          <t>df7ddff1…</t>
        </is>
      </c>
      <c r="G257" s="6" t="inlineStr">
        <is>
          <t>absent from the tenant: the owner answered that no flow or endpoint of that name exists and that the intake flow is IP_SCAN_INTAKE (exported and shared 2026-10-</t>
        </is>
      </c>
      <c r="H257" s="6" t="n"/>
      <c r="I257" s="6" t="n"/>
      <c r="J257" s="6" t="n"/>
      <c r="K257" s="6" t="inlineStr">
        <is>
          <t>retired (registers/flow-adoption.json)</t>
        </is>
      </c>
      <c r="L257" s="6" t="inlineStr">
        <is>
          <t>No</t>
        </is>
      </c>
      <c r="M257" s="6" t="n"/>
      <c r="N257" s="6" t="n"/>
      <c r="O257" s="6" t="inlineStr">
        <is>
          <t>Turned off (owner, 6 October 2026)</t>
        </is>
      </c>
      <c r="P257" s="13" t="inlineStr">
        <is>
          <t>RETIRED</t>
        </is>
      </c>
      <c r="Q257" s="6" t="inlineStr">
        <is>
          <t>Successor: IP_Dynamic_Global_Actions_Endpoint. Delete from 2026-10-20.</t>
        </is>
      </c>
      <c r="R257" s="6" t="inlineStr">
        <is>
          <t>If it is in the tenant: turn it off, then delete it once its run history shows no call for 14 days.</t>
        </is>
      </c>
      <c r="S257" s="8" t="n"/>
      <c r="T257" s="9" t="n"/>
      <c r="U257" s="8" t="n"/>
    </row>
    <row r="258">
      <c r="A258" s="6" t="inlineStr">
        <is>
          <t>TR-229</t>
        </is>
      </c>
      <c r="B258" s="6" t="inlineStr">
        <is>
          <t>Retired flow</t>
        </is>
      </c>
      <c r="C258" s="6" t="inlineStr">
        <is>
          <t>Flow estate</t>
        </is>
      </c>
      <c r="D258" s="6" t="inlineStr">
        <is>
          <t>Any e-mail this flow sends</t>
        </is>
      </c>
      <c r="E258" s="6" t="inlineStr">
        <is>
          <t>Folio_LEGACY_INTAKE</t>
        </is>
      </c>
      <c r="F258" s="6" t="inlineStr">
        <is>
          <t>326d1fbf…</t>
        </is>
      </c>
      <c r="G258" s="6" t="inlineStr">
        <is>
          <t>duplicate: an unregistered copy of DGSO INCOMING AI PROCESSING on the same trigger, so each scan was processed twice (turned off 2026-10-08)</t>
        </is>
      </c>
      <c r="H258" s="6" t="n"/>
      <c r="I258" s="6" t="n"/>
      <c r="J258" s="6" t="n"/>
      <c r="K258" s="6" t="inlineStr">
        <is>
          <t>retired (registers/flow-adoption.json)</t>
        </is>
      </c>
      <c r="L258" s="6" t="inlineStr">
        <is>
          <t>No</t>
        </is>
      </c>
      <c r="M258" s="6" t="n"/>
      <c r="N258" s="6" t="n"/>
      <c r="O258" s="6" t="inlineStr">
        <is>
          <t>Turned off (owner, 6 October 2026)</t>
        </is>
      </c>
      <c r="P258" s="13" t="inlineStr">
        <is>
          <t>RETIRED</t>
        </is>
      </c>
      <c r="Q258" s="6" t="inlineStr">
        <is>
          <t>Successor: Folio_Incoming_Correspondence_Scan_Processing_Flow. Delete from 2026-10-20.</t>
        </is>
      </c>
      <c r="R258" s="6" t="inlineStr">
        <is>
          <t>If it is in the tenant: turn it off, then delete it once its run history shows no call for 14 days.</t>
        </is>
      </c>
      <c r="S258" s="8" t="n"/>
      <c r="T258" s="9" t="n"/>
      <c r="U258" s="8" t="n"/>
    </row>
    <row r="259">
      <c r="A259" s="6" t="inlineStr">
        <is>
          <t>TR-230</t>
        </is>
      </c>
      <c r="B259" s="6" t="inlineStr">
        <is>
          <t>Superseded artefact</t>
        </is>
      </c>
      <c r="C259" s="6" t="inlineStr">
        <is>
          <t>Repository</t>
        </is>
      </c>
      <c r="D259" s="6" t="inlineStr">
        <is>
          <t>packages/01-portal-submission.flow.json … 07-portal-provisioning.flow.json</t>
        </is>
      </c>
      <c r="E259" s="6" t="n"/>
      <c r="F259" s="6" t="n"/>
      <c r="G259" s="6" t="n"/>
      <c r="H259" s="6" t="n"/>
      <c r="I259" s="6" t="n"/>
      <c r="J259" s="6" t="n"/>
      <c r="K259" s="6" t="inlineStr">
        <is>
          <t>packages/01-portal-submission.flow.json … 07-portal-provisioning.flow.json</t>
        </is>
      </c>
      <c r="L259" s="6" t="inlineStr">
        <is>
          <t>No</t>
        </is>
      </c>
      <c r="M259" s="6" t="n"/>
      <c r="N259" s="6" t="n"/>
      <c r="O259" s="6" t="n"/>
      <c r="P259" s="13" t="inlineStr">
        <is>
          <t>RETIRED</t>
        </is>
      </c>
      <c r="Q259" s="6" t="inlineStr">
        <is>
          <t>Earlier portal packages; superseded by identification Phase 3.</t>
        </is>
      </c>
      <c r="R259" s="6" t="inlineStr">
        <is>
          <t>Mark superseded where not already.</t>
        </is>
      </c>
      <c r="S259" s="8" t="n"/>
      <c r="T259" s="9" t="n"/>
      <c r="U259" s="8" t="n"/>
    </row>
    <row r="260">
      <c r="A260" s="6" t="inlineStr">
        <is>
          <t>TR-231</t>
        </is>
      </c>
      <c r="B260" s="6" t="inlineStr">
        <is>
          <t>Superseded artefact</t>
        </is>
      </c>
      <c r="C260" s="6" t="inlineStr">
        <is>
          <t>Repository</t>
        </is>
      </c>
      <c r="D260" s="6" t="inlineStr">
        <is>
          <t>surfaces/portal/delivered/*.paste.json (5)</t>
        </is>
      </c>
      <c r="E260" s="6" t="n"/>
      <c r="F260" s="6" t="n"/>
      <c r="G260" s="6" t="n"/>
      <c r="H260" s="6" t="n"/>
      <c r="I260" s="6" t="n"/>
      <c r="J260" s="6" t="n"/>
      <c r="K260" s="6" t="inlineStr">
        <is>
          <t>surfaces/portal/delivered/*.paste.json (5)</t>
        </is>
      </c>
      <c r="L260" s="6" t="inlineStr">
        <is>
          <t>No</t>
        </is>
      </c>
      <c r="M260" s="6" t="n"/>
      <c r="N260" s="6" t="n"/>
      <c r="O260" s="6" t="n"/>
      <c r="P260" s="13" t="inlineStr">
        <is>
          <t>RETIRED</t>
        </is>
      </c>
      <c r="Q260" s="6" t="inlineStr">
        <is>
          <t>Earlier delivered portal pastes; superseded by identification Phase 3.</t>
        </is>
      </c>
      <c r="R260" s="6" t="inlineStr">
        <is>
          <t>Mark superseded where not already.</t>
        </is>
      </c>
      <c r="S260" s="8" t="n"/>
      <c r="T260" s="9" t="n"/>
      <c r="U260" s="8" t="n"/>
    </row>
    <row r="261">
      <c r="A261" s="6" t="inlineStr">
        <is>
          <t>TR-232</t>
        </is>
      </c>
      <c r="B261" s="6" t="inlineStr">
        <is>
          <t>Superseded artefact</t>
        </is>
      </c>
      <c r="C261" s="6" t="inlineStr">
        <is>
          <t>Repository</t>
        </is>
      </c>
      <c r="D261" s="6" t="inlineStr">
        <is>
          <t>packages/fresh-flow/Web_OTP_Verify.*</t>
        </is>
      </c>
      <c r="E261" s="6" t="n"/>
      <c r="F261" s="6" t="n"/>
      <c r="G261" s="6" t="n"/>
      <c r="H261" s="6" t="n"/>
      <c r="I261" s="6" t="n"/>
      <c r="J261" s="6" t="n"/>
      <c r="K261" s="6" t="inlineStr">
        <is>
          <t>packages/fresh-flow/Web_OTP_Verify.*</t>
        </is>
      </c>
      <c r="L261" s="6" t="inlineStr">
        <is>
          <t>No</t>
        </is>
      </c>
      <c r="M261" s="6" t="n"/>
      <c r="N261" s="6" t="n"/>
      <c r="O261" s="6" t="n"/>
      <c r="P261" s="13" t="inlineStr">
        <is>
          <t>RETIRED</t>
        </is>
      </c>
      <c r="Q261" s="6" t="inlineStr">
        <is>
          <t>Web - OTP Verify; retired (ITEM-43).</t>
        </is>
      </c>
      <c r="R261" s="6" t="inlineStr">
        <is>
          <t>Mark superseded where not already.</t>
        </is>
      </c>
      <c r="S261" s="8" t="n"/>
      <c r="T261" s="9" t="n"/>
      <c r="U261" s="8" t="n"/>
    </row>
    <row r="262">
      <c r="A262" s="6" t="inlineStr">
        <is>
          <t>TR-233</t>
        </is>
      </c>
      <c r="B262" s="6" t="inlineStr">
        <is>
          <t>Superseded artefact</t>
        </is>
      </c>
      <c r="C262" s="6" t="inlineStr">
        <is>
          <t>Repository</t>
        </is>
      </c>
      <c r="D262" s="6" t="inlineStr">
        <is>
          <t>patches/deeplinks-flows/* (3 flows)</t>
        </is>
      </c>
      <c r="E262" s="6" t="n"/>
      <c r="F262" s="6" t="n"/>
      <c r="G262" s="6" t="n"/>
      <c r="H262" s="6" t="n"/>
      <c r="I262" s="6" t="n"/>
      <c r="J262" s="6" t="n"/>
      <c r="K262" s="6" t="inlineStr">
        <is>
          <t>patches/deeplinks-flows/* (3 flows)</t>
        </is>
      </c>
      <c r="L262" s="6" t="inlineStr">
        <is>
          <t>No</t>
        </is>
      </c>
      <c r="M262" s="6" t="n"/>
      <c r="N262" s="6" t="n"/>
      <c r="O262" s="6" t="n"/>
      <c r="P262" s="13" t="inlineStr">
        <is>
          <t>RETIRED</t>
        </is>
      </c>
      <c r="Q262" s="6" t="inlineStr">
        <is>
          <t>Deep-link patches; overtaken by the release packages.</t>
        </is>
      </c>
      <c r="R262" s="6" t="inlineStr">
        <is>
          <t>Mark superseded where not already.</t>
        </is>
      </c>
      <c r="S262" s="8" t="n"/>
      <c r="T262" s="9" t="n"/>
      <c r="U262" s="8" t="n"/>
    </row>
    <row r="263">
      <c r="A263" s="6" t="inlineStr">
        <is>
          <t>TR-234</t>
        </is>
      </c>
      <c r="B263" s="6" t="inlineStr">
        <is>
          <t>Superseded artefact</t>
        </is>
      </c>
      <c r="C263" s="6" t="inlineStr">
        <is>
          <t>Repository</t>
        </is>
      </c>
      <c r="D263" s="6" t="inlineStr">
        <is>
          <t>patches/deeplinks/Single-Task-Assignment/03-Compose_Email_Notification_Template_3.txt</t>
        </is>
      </c>
      <c r="E263" s="6" t="n"/>
      <c r="F263" s="6" t="n"/>
      <c r="G263" s="6" t="n"/>
      <c r="H263" s="6" t="n"/>
      <c r="I263" s="6" t="n"/>
      <c r="J263" s="6" t="n"/>
      <c r="K263" s="6" t="inlineStr">
        <is>
          <t>patches/deeplinks/Single-Task-Assignment/03-Compose_Email_Notification_Template_3.txt</t>
        </is>
      </c>
      <c r="L263" s="6" t="inlineStr">
        <is>
          <t>No</t>
        </is>
      </c>
      <c r="M263" s="6" t="n"/>
      <c r="N263" s="6" t="n"/>
      <c r="O263" s="6" t="n"/>
      <c r="P263" s="13" t="inlineStr">
        <is>
          <t>RETIRED</t>
        </is>
      </c>
      <c r="Q263" s="6" t="inlineStr">
        <is>
          <t>Plain-text body of an old assignment mail; superseded by its catalogue template.</t>
        </is>
      </c>
      <c r="R263" s="6" t="inlineStr">
        <is>
          <t>Mark superseded where not already.</t>
        </is>
      </c>
      <c r="S263" s="8" t="n"/>
      <c r="T263" s="9" t="n"/>
      <c r="U263" s="8" t="n"/>
    </row>
    <row r="264">
      <c r="A264" s="6" t="inlineStr">
        <is>
          <t>TR-144</t>
        </is>
      </c>
      <c r="B264" s="6" t="inlineStr">
        <is>
          <t>Surplus send (matrix)</t>
        </is>
      </c>
      <c r="C264" s="6" t="inlineStr">
        <is>
          <t>Flow estate</t>
        </is>
      </c>
      <c r="D264" s="6" t="inlineStr">
        <is>
          <t>Read endpoints email their response payload to a fixed mailbox</t>
        </is>
      </c>
      <c r="E264" s="6" t="n"/>
      <c r="F264" s="6" t="n"/>
      <c r="G264" s="6" t="inlineStr">
        <is>
          <t>FETCH_DOCS_V2_POST, Fetch_Emails_HTTP_POST, Fetch_Emails_POST, OPS_REFERENCES_AND_LOOKUPS, WEB Get Docs  HTTP GET, Web - Get Tasks GET SWITCH, Web - Subsidiary Doc Actions, Get Correspondences</t>
        </is>
      </c>
      <c r="H264" s="6" t="inlineStr">
        <is>
          <t>SN-001</t>
        </is>
      </c>
      <c r="I264" s="6" t="n"/>
      <c r="J264" s="6" t="n"/>
      <c r="K264" s="6" t="inlineStr">
        <is>
          <t>config/notification-matrix.config.js (SurplusNotifications)</t>
        </is>
      </c>
      <c r="L264" s="6" t="n"/>
      <c r="M264" s="6" t="n"/>
      <c r="N264" s="6" t="n"/>
      <c r="O264" s="6" t="n"/>
      <c r="P264" s="13" t="inlineStr">
        <is>
          <t>RETIRED</t>
        </is>
      </c>
      <c r="Q264" s="6" t="inlineStr">
        <is>
          <t>Resolved 2026-10-05: every flow this entry named is retired (docs/folio-Master-Flows-and-Endpoints/registers/flow-adoption.json), so the estate no longer makes these sends. In the tenant they stop when the retired flows are turned off.</t>
        </is>
      </c>
      <c r="R264" s="6" t="n"/>
      <c r="S264" s="8" t="n"/>
      <c r="T264" s="9" t="n"/>
      <c r="U264" s="8" t="n"/>
    </row>
    <row r="265">
      <c r="A265" s="6" t="inlineStr">
        <is>
          <t>TR-145</t>
        </is>
      </c>
      <c r="B265" s="6" t="inlineStr">
        <is>
          <t>Surplus send (matrix)</t>
        </is>
      </c>
      <c r="C265" s="6" t="inlineStr">
        <is>
          <t>Flow estate</t>
        </is>
      </c>
      <c r="D265" s="6" t="inlineStr">
        <is>
          <t>AI chat and preprocessing flows email their results to a fixed mailbox</t>
        </is>
      </c>
      <c r="E265" s="6" t="n"/>
      <c r="F265" s="6" t="n"/>
      <c r="G265" s="6" t="inlineStr">
        <is>
          <t>Instant OpenRouter AI Chat, Web - Preprocess user message</t>
        </is>
      </c>
      <c r="H265" s="6" t="inlineStr">
        <is>
          <t>SN-002</t>
        </is>
      </c>
      <c r="I265" s="6" t="n"/>
      <c r="J265" s="6" t="n"/>
      <c r="K265" s="6" t="inlineStr">
        <is>
          <t>config/notification-matrix.config.js (SurplusNotifications)</t>
        </is>
      </c>
      <c r="L265" s="6" t="n"/>
      <c r="M265" s="6" t="n"/>
      <c r="N265" s="6" t="n"/>
      <c r="O265" s="6" t="n"/>
      <c r="P265" s="13" t="inlineStr">
        <is>
          <t>RETIRED</t>
        </is>
      </c>
      <c r="Q265" s="6" t="inlineStr">
        <is>
          <t>Resolved 2026-10-05: every flow this entry named is retired (docs/folio-Master-Flows-and-Endpoints/registers/flow-adoption.json), so the estate no longer makes these sends. In the tenant they stop when the retired flows are turned off.</t>
        </is>
      </c>
      <c r="R265" s="6" t="n"/>
      <c r="S265" s="8" t="n"/>
      <c r="T265" s="9" t="n"/>
      <c r="U265" s="8" t="n"/>
    </row>
    <row r="266">
      <c r="A266" s="6" t="inlineStr">
        <is>
          <t>TR-146</t>
        </is>
      </c>
      <c r="B266" s="6" t="inlineStr">
        <is>
          <t>Surplus send (matrix)</t>
        </is>
      </c>
      <c r="C266" s="6" t="inlineStr">
        <is>
          <t>Flow estate</t>
        </is>
      </c>
      <c r="D266" s="6" t="inlineStr">
        <is>
          <t>A send on a second mail connector, with an empty body</t>
        </is>
      </c>
      <c r="E266" s="6" t="n"/>
      <c r="F266" s="6" t="n"/>
      <c r="G266" s="6" t="inlineStr">
        <is>
          <t>Web - Email To Task Processing</t>
        </is>
      </c>
      <c r="H266" s="6" t="inlineStr">
        <is>
          <t>SN-003</t>
        </is>
      </c>
      <c r="I266" s="6" t="n"/>
      <c r="J266" s="6" t="n"/>
      <c r="K266" s="6" t="inlineStr">
        <is>
          <t>config/notification-matrix.config.js (SurplusNotifications)</t>
        </is>
      </c>
      <c r="L266" s="6" t="n"/>
      <c r="M266" s="6" t="n"/>
      <c r="N266" s="6" t="n"/>
      <c r="O266" s="6" t="n"/>
      <c r="P266" s="13" t="inlineStr">
        <is>
          <t>RETIRED</t>
        </is>
      </c>
      <c r="Q266" s="6" t="inlineStr">
        <is>
          <t>Resolved 2026-10-05: every flow this entry named is retired (docs/folio-Master-Flows-and-Endpoints/registers/flow-adoption.json), so the estate no longer makes these sends. In the tenant they stop when the retired flows are turned off.</t>
        </is>
      </c>
      <c r="R266" s="6" t="n"/>
      <c r="S266" s="8" t="n"/>
      <c r="T266" s="9" t="n"/>
      <c r="U266" s="8" t="n"/>
    </row>
    <row r="267">
      <c r="A267" s="6" t="inlineStr">
        <is>
          <t>TR-147</t>
        </is>
      </c>
      <c r="B267" s="6" t="inlineStr">
        <is>
          <t>Surplus send (matrix)</t>
        </is>
      </c>
      <c r="C267" s="6" t="inlineStr">
        <is>
          <t>Flow estate</t>
        </is>
      </c>
      <c r="D267" s="6" t="inlineStr">
        <is>
          <t>Audit-trail emails duplicating what the audit list already holds</t>
        </is>
      </c>
      <c r="E267" s="6" t="n"/>
      <c r="F267" s="6" t="n"/>
      <c r="G267" s="6" t="inlineStr">
        <is>
          <t>Web - Email Task Created, Deployed Bulk Task Assignment_Create Task</t>
        </is>
      </c>
      <c r="H267" s="6" t="inlineStr">
        <is>
          <t>SN-004</t>
        </is>
      </c>
      <c r="I267" s="6" t="n"/>
      <c r="J267" s="6" t="n"/>
      <c r="K267" s="6" t="inlineStr">
        <is>
          <t>config/notification-matrix.config.js (SurplusNotifications)</t>
        </is>
      </c>
      <c r="L267" s="6" t="n"/>
      <c r="M267" s="6" t="n"/>
      <c r="N267" s="6" t="n"/>
      <c r="O267" s="6" t="n"/>
      <c r="P267" s="13" t="inlineStr">
        <is>
          <t>RETIRED</t>
        </is>
      </c>
      <c r="Q267" s="6" t="inlineStr">
        <is>
          <t>Resolved 2026-10-06 (owner decision, ITEM-50 and ITEM-52): the identification Phase 4 package for IP_Create__Task__for_received_Email_Endpoint (ab1a3555) removes the diagnostics mail and both audit mails, and sends the two task notifications to the assigned officer. In the tenant the sends stop when</t>
        </is>
      </c>
      <c r="R267" s="6" t="n"/>
      <c r="S267" s="8" t="n"/>
      <c r="T267" s="9" t="n"/>
      <c r="U267" s="8" t="n"/>
    </row>
    <row r="268">
      <c r="A268" s="6" t="inlineStr">
        <is>
          <t>TR-148</t>
        </is>
      </c>
      <c r="B268" s="6" t="inlineStr">
        <is>
          <t>Surplus send (matrix)</t>
        </is>
      </c>
      <c r="C268" s="6" t="inlineStr">
        <is>
          <t>Flow estate</t>
        </is>
      </c>
      <c r="D268" s="6" t="inlineStr">
        <is>
          <t>A real acknowledgement that has no row to assert it</t>
        </is>
      </c>
      <c r="E268" s="6" t="n"/>
      <c r="F268" s="6" t="n"/>
      <c r="G268" s="6" t="inlineStr">
        <is>
          <t>CG_Support_Endpoint, IP_OTP_VERIFY</t>
        </is>
      </c>
      <c r="H268" s="6" t="inlineStr">
        <is>
          <t>SN-005</t>
        </is>
      </c>
      <c r="I268" s="6" t="n"/>
      <c r="J268" s="6" t="n"/>
      <c r="K268" s="6" t="inlineStr">
        <is>
          <t>config/notification-matrix.config.js (SurplusNotifications)</t>
        </is>
      </c>
      <c r="L268" s="6" t="n"/>
      <c r="M268" s="6" t="n"/>
      <c r="N268" s="6" t="n"/>
      <c r="O268" s="6" t="n"/>
      <c r="P268" s="13" t="inlineStr">
        <is>
          <t>RETIRED</t>
        </is>
      </c>
      <c r="Q268" s="6" t="inlineStr">
        <is>
          <t>Resolved 2026-10-05: each send now has a row. The support acknowledgement is RN-007, carried by CG_Portal_Support_Endpoint (4873c936), which replaced CG_Support_Endpoint (retired); the officer code is RN-016, carried by IP_OTP_VERIFY (4dbe6dde).</t>
        </is>
      </c>
      <c r="R268" s="6" t="n"/>
      <c r="S268" s="8" t="n"/>
      <c r="T268" s="9" t="n"/>
      <c r="U268" s="8" t="n"/>
    </row>
    <row r="269">
      <c r="A269" s="6" t="inlineStr">
        <is>
          <t>TR-106</t>
        </is>
      </c>
      <c r="B269" s="6" t="inlineStr">
        <is>
          <t>Required notification · other</t>
        </is>
      </c>
      <c r="C269" s="6" t="inlineStr">
        <is>
          <t>internal</t>
        </is>
      </c>
      <c r="D269" s="6" t="inlineStr">
        <is>
          <t>A verification code is requested for delivery by SMS</t>
        </is>
      </c>
      <c r="E269" s="6" t="inlineStr">
        <is>
          <t>No artifact, by decision. Verification codes go by email only.</t>
        </is>
      </c>
      <c r="F269" s="6" t="n"/>
      <c r="G269" s="6" t="n"/>
      <c r="H269" s="6" t="inlineStr">
        <is>
          <t>RN-033</t>
        </is>
      </c>
      <c r="I269" s="6" t="inlineStr">
        <is>
          <t>assignee</t>
        </is>
      </c>
      <c r="J269" s="6" t="n"/>
      <c r="K269" s="6" t="n"/>
      <c r="L269" s="6" t="inlineStr">
        <is>
          <t>n/a</t>
        </is>
      </c>
      <c r="M269" s="6" t="inlineStr">
        <is>
          <t>n/a</t>
        </is>
      </c>
      <c r="N269" s="6" t="n"/>
      <c r="O269" s="6" t="n"/>
      <c r="P269" s="13" t="inlineStr">
        <is>
          <t>WITHDRAWN</t>
        </is>
      </c>
      <c r="Q269" s="6" t="inlineStr">
        <is>
          <t>SMS withdrawn by owner decision (2026-10-03).</t>
        </is>
      </c>
      <c r="R269" s="6" t="n"/>
      <c r="S269" s="8" t="n"/>
      <c r="T269" s="9" t="n"/>
      <c r="U269" s="8" t="n"/>
    </row>
  </sheetData>
  <autoFilter ref="A1:U269"/>
  <dataValidations count="2">
    <dataValidation sqref="P2:P269" showDropDown="0" showInputMessage="0" showErrorMessage="0" allowBlank="0" type="list">
      <formula1>"GAP,DECISION,NOT DEPLOYED,INFO,OK,RETIRED,WITHDRAWN"</formula1>
    </dataValidation>
    <dataValidation sqref="T2:T269" showDropDown="0" showInputMessage="0" showErrorMessage="0" allowBlank="1" type="date" operator="greaterThan">
      <formula1>DATE(2026,1,1)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4" t="inlineStr">
        <is>
          <t>Rows by category and status (formulas over the Register sheet)</t>
        </is>
      </c>
    </row>
    <row r="3">
      <c r="A3" s="15" t="inlineStr">
        <is>
          <t>Category</t>
        </is>
      </c>
      <c r="B3" s="15" t="inlineStr">
        <is>
          <t>GAP</t>
        </is>
      </c>
      <c r="C3" s="15" t="inlineStr">
        <is>
          <t>DECISION</t>
        </is>
      </c>
      <c r="D3" s="15" t="inlineStr">
        <is>
          <t>NOT DEPLOYED</t>
        </is>
      </c>
      <c r="E3" s="15" t="inlineStr">
        <is>
          <t>INFO</t>
        </is>
      </c>
      <c r="F3" s="15" t="inlineStr">
        <is>
          <t>OK</t>
        </is>
      </c>
      <c r="G3" s="15" t="inlineStr">
        <is>
          <t>RETIRED</t>
        </is>
      </c>
      <c r="H3" s="15" t="inlineStr">
        <is>
          <t>WITHDRAWN</t>
        </is>
      </c>
      <c r="I3" s="15" t="inlineStr">
        <is>
          <t>Total</t>
        </is>
      </c>
      <c r="J3" s="15" t="inlineStr">
        <is>
          <t>No owner yet</t>
        </is>
      </c>
    </row>
    <row r="4">
      <c r="A4" s="16" t="inlineStr">
        <is>
          <t>Client e-mail · correspondence</t>
        </is>
      </c>
      <c r="B4" s="16">
        <f>COUNTIFS(Register!$B$2:$B$269,$A4,Register!$P$2:$P$269,B$3)</f>
        <v/>
      </c>
      <c r="C4" s="16">
        <f>COUNTIFS(Register!$B$2:$B$269,$A4,Register!$P$2:$P$269,C$3)</f>
        <v/>
      </c>
      <c r="D4" s="16">
        <f>COUNTIFS(Register!$B$2:$B$269,$A4,Register!$P$2:$P$269,D$3)</f>
        <v/>
      </c>
      <c r="E4" s="16">
        <f>COUNTIFS(Register!$B$2:$B$269,$A4,Register!$P$2:$P$269,E$3)</f>
        <v/>
      </c>
      <c r="F4" s="16">
        <f>COUNTIFS(Register!$B$2:$B$269,$A4,Register!$P$2:$P$269,F$3)</f>
        <v/>
      </c>
      <c r="G4" s="16">
        <f>COUNTIFS(Register!$B$2:$B$269,$A4,Register!$P$2:$P$269,G$3)</f>
        <v/>
      </c>
      <c r="H4" s="16">
        <f>COUNTIFS(Register!$B$2:$B$269,$A4,Register!$P$2:$P$269,H$3)</f>
        <v/>
      </c>
      <c r="I4" s="17">
        <f>SUM(B4:H4)</f>
        <v/>
      </c>
      <c r="J4" s="16">
        <f>COUNTIFS(Register!$B$2:$B$269,$A4,Register!$S$2:$S$269,"")</f>
        <v/>
      </c>
    </row>
    <row r="5">
      <c r="A5" s="16" t="inlineStr">
        <is>
          <t>Client e-mail · report</t>
        </is>
      </c>
      <c r="B5" s="16">
        <f>COUNTIFS(Register!$B$2:$B$269,$A5,Register!$P$2:$P$269,B$3)</f>
        <v/>
      </c>
      <c r="C5" s="16">
        <f>COUNTIFS(Register!$B$2:$B$269,$A5,Register!$P$2:$P$269,C$3)</f>
        <v/>
      </c>
      <c r="D5" s="16">
        <f>COUNTIFS(Register!$B$2:$B$269,$A5,Register!$P$2:$P$269,D$3)</f>
        <v/>
      </c>
      <c r="E5" s="16">
        <f>COUNTIFS(Register!$B$2:$B$269,$A5,Register!$P$2:$P$269,E$3)</f>
        <v/>
      </c>
      <c r="F5" s="16">
        <f>COUNTIFS(Register!$B$2:$B$269,$A5,Register!$P$2:$P$269,F$3)</f>
        <v/>
      </c>
      <c r="G5" s="16">
        <f>COUNTIFS(Register!$B$2:$B$269,$A5,Register!$P$2:$P$269,G$3)</f>
        <v/>
      </c>
      <c r="H5" s="16">
        <f>COUNTIFS(Register!$B$2:$B$269,$A5,Register!$P$2:$P$269,H$3)</f>
        <v/>
      </c>
      <c r="I5" s="17">
        <f>SUM(B5:H5)</f>
        <v/>
      </c>
      <c r="J5" s="16">
        <f>COUNTIFS(Register!$B$2:$B$269,$A5,Register!$S$2:$S$269,"")</f>
        <v/>
      </c>
    </row>
    <row r="6">
      <c r="A6" s="16" t="inlineStr">
        <is>
          <t>Client e-mail · staff notice</t>
        </is>
      </c>
      <c r="B6" s="16">
        <f>COUNTIFS(Register!$B$2:$B$269,$A6,Register!$P$2:$P$269,B$3)</f>
        <v/>
      </c>
      <c r="C6" s="16">
        <f>COUNTIFS(Register!$B$2:$B$269,$A6,Register!$P$2:$P$269,C$3)</f>
        <v/>
      </c>
      <c r="D6" s="16">
        <f>COUNTIFS(Register!$B$2:$B$269,$A6,Register!$P$2:$P$269,D$3)</f>
        <v/>
      </c>
      <c r="E6" s="16">
        <f>COUNTIFS(Register!$B$2:$B$269,$A6,Register!$P$2:$P$269,E$3)</f>
        <v/>
      </c>
      <c r="F6" s="16">
        <f>COUNTIFS(Register!$B$2:$B$269,$A6,Register!$P$2:$P$269,F$3)</f>
        <v/>
      </c>
      <c r="G6" s="16">
        <f>COUNTIFS(Register!$B$2:$B$269,$A6,Register!$P$2:$P$269,G$3)</f>
        <v/>
      </c>
      <c r="H6" s="16">
        <f>COUNTIFS(Register!$B$2:$B$269,$A6,Register!$P$2:$P$269,H$3)</f>
        <v/>
      </c>
      <c r="I6" s="17">
        <f>SUM(B6:H6)</f>
        <v/>
      </c>
      <c r="J6" s="16">
        <f>COUNTIFS(Register!$B$2:$B$269,$A6,Register!$S$2:$S$269,"")</f>
        <v/>
      </c>
    </row>
    <row r="7">
      <c r="A7" s="16" t="inlineStr">
        <is>
          <t>Flow e-mail · catalogue</t>
        </is>
      </c>
      <c r="B7" s="16">
        <f>COUNTIFS(Register!$B$2:$B$269,$A7,Register!$P$2:$P$269,B$3)</f>
        <v/>
      </c>
      <c r="C7" s="16">
        <f>COUNTIFS(Register!$B$2:$B$269,$A7,Register!$P$2:$P$269,C$3)</f>
        <v/>
      </c>
      <c r="D7" s="16">
        <f>COUNTIFS(Register!$B$2:$B$269,$A7,Register!$P$2:$P$269,D$3)</f>
        <v/>
      </c>
      <c r="E7" s="16">
        <f>COUNTIFS(Register!$B$2:$B$269,$A7,Register!$P$2:$P$269,E$3)</f>
        <v/>
      </c>
      <c r="F7" s="16">
        <f>COUNTIFS(Register!$B$2:$B$269,$A7,Register!$P$2:$P$269,F$3)</f>
        <v/>
      </c>
      <c r="G7" s="16">
        <f>COUNTIFS(Register!$B$2:$B$269,$A7,Register!$P$2:$P$269,G$3)</f>
        <v/>
      </c>
      <c r="H7" s="16">
        <f>COUNTIFS(Register!$B$2:$B$269,$A7,Register!$P$2:$P$269,H$3)</f>
        <v/>
      </c>
      <c r="I7" s="17">
        <f>SUM(B7:H7)</f>
        <v/>
      </c>
      <c r="J7" s="16">
        <f>COUNTIFS(Register!$B$2:$B$269,$A7,Register!$S$2:$S$269,"")</f>
        <v/>
      </c>
    </row>
    <row r="8">
      <c r="A8" s="16" t="inlineStr">
        <is>
          <t>Flow e-mail · no catalogue template</t>
        </is>
      </c>
      <c r="B8" s="16">
        <f>COUNTIFS(Register!$B$2:$B$269,$A8,Register!$P$2:$P$269,B$3)</f>
        <v/>
      </c>
      <c r="C8" s="16">
        <f>COUNTIFS(Register!$B$2:$B$269,$A8,Register!$P$2:$P$269,C$3)</f>
        <v/>
      </c>
      <c r="D8" s="16">
        <f>COUNTIFS(Register!$B$2:$B$269,$A8,Register!$P$2:$P$269,D$3)</f>
        <v/>
      </c>
      <c r="E8" s="16">
        <f>COUNTIFS(Register!$B$2:$B$269,$A8,Register!$P$2:$P$269,E$3)</f>
        <v/>
      </c>
      <c r="F8" s="16">
        <f>COUNTIFS(Register!$B$2:$B$269,$A8,Register!$P$2:$P$269,F$3)</f>
        <v/>
      </c>
      <c r="G8" s="16">
        <f>COUNTIFS(Register!$B$2:$B$269,$A8,Register!$P$2:$P$269,G$3)</f>
        <v/>
      </c>
      <c r="H8" s="16">
        <f>COUNTIFS(Register!$B$2:$B$269,$A8,Register!$P$2:$P$269,H$3)</f>
        <v/>
      </c>
      <c r="I8" s="17">
        <f>SUM(B8:H8)</f>
        <v/>
      </c>
      <c r="J8" s="16">
        <f>COUNTIFS(Register!$B$2:$B$269,$A8,Register!$S$2:$S$269,"")</f>
        <v/>
      </c>
    </row>
    <row r="9">
      <c r="A9" s="16" t="inlineStr">
        <is>
          <t>Flow · sends no e-mail</t>
        </is>
      </c>
      <c r="B9" s="16">
        <f>COUNTIFS(Register!$B$2:$B$269,$A9,Register!$P$2:$P$269,B$3)</f>
        <v/>
      </c>
      <c r="C9" s="16">
        <f>COUNTIFS(Register!$B$2:$B$269,$A9,Register!$P$2:$P$269,C$3)</f>
        <v/>
      </c>
      <c r="D9" s="16">
        <f>COUNTIFS(Register!$B$2:$B$269,$A9,Register!$P$2:$P$269,D$3)</f>
        <v/>
      </c>
      <c r="E9" s="16">
        <f>COUNTIFS(Register!$B$2:$B$269,$A9,Register!$P$2:$P$269,E$3)</f>
        <v/>
      </c>
      <c r="F9" s="16">
        <f>COUNTIFS(Register!$B$2:$B$269,$A9,Register!$P$2:$P$269,F$3)</f>
        <v/>
      </c>
      <c r="G9" s="16">
        <f>COUNTIFS(Register!$B$2:$B$269,$A9,Register!$P$2:$P$269,G$3)</f>
        <v/>
      </c>
      <c r="H9" s="16">
        <f>COUNTIFS(Register!$B$2:$B$269,$A9,Register!$P$2:$P$269,H$3)</f>
        <v/>
      </c>
      <c r="I9" s="17">
        <f>SUM(B9:H9)</f>
        <v/>
      </c>
      <c r="J9" s="16">
        <f>COUNTIFS(Register!$B$2:$B$269,$A9,Register!$S$2:$S$269,"")</f>
        <v/>
      </c>
    </row>
    <row r="10">
      <c r="A10" s="16" t="inlineStr">
        <is>
          <t>Implied, not sent</t>
        </is>
      </c>
      <c r="B10" s="16">
        <f>COUNTIFS(Register!$B$2:$B$269,$A10,Register!$P$2:$P$269,B$3)</f>
        <v/>
      </c>
      <c r="C10" s="16">
        <f>COUNTIFS(Register!$B$2:$B$269,$A10,Register!$P$2:$P$269,C$3)</f>
        <v/>
      </c>
      <c r="D10" s="16">
        <f>COUNTIFS(Register!$B$2:$B$269,$A10,Register!$P$2:$P$269,D$3)</f>
        <v/>
      </c>
      <c r="E10" s="16">
        <f>COUNTIFS(Register!$B$2:$B$269,$A10,Register!$P$2:$P$269,E$3)</f>
        <v/>
      </c>
      <c r="F10" s="16">
        <f>COUNTIFS(Register!$B$2:$B$269,$A10,Register!$P$2:$P$269,F$3)</f>
        <v/>
      </c>
      <c r="G10" s="16">
        <f>COUNTIFS(Register!$B$2:$B$269,$A10,Register!$P$2:$P$269,G$3)</f>
        <v/>
      </c>
      <c r="H10" s="16">
        <f>COUNTIFS(Register!$B$2:$B$269,$A10,Register!$P$2:$P$269,H$3)</f>
        <v/>
      </c>
      <c r="I10" s="17">
        <f>SUM(B10:H10)</f>
        <v/>
      </c>
      <c r="J10" s="16">
        <f>COUNTIFS(Register!$B$2:$B$269,$A10,Register!$S$2:$S$269,"")</f>
        <v/>
      </c>
    </row>
    <row r="11">
      <c r="A11" s="16" t="inlineStr">
        <is>
          <t>In-app notice</t>
        </is>
      </c>
      <c r="B11" s="16">
        <f>COUNTIFS(Register!$B$2:$B$269,$A11,Register!$P$2:$P$269,B$3)</f>
        <v/>
      </c>
      <c r="C11" s="16">
        <f>COUNTIFS(Register!$B$2:$B$269,$A11,Register!$P$2:$P$269,C$3)</f>
        <v/>
      </c>
      <c r="D11" s="16">
        <f>COUNTIFS(Register!$B$2:$B$269,$A11,Register!$P$2:$P$269,D$3)</f>
        <v/>
      </c>
      <c r="E11" s="16">
        <f>COUNTIFS(Register!$B$2:$B$269,$A11,Register!$P$2:$P$269,E$3)</f>
        <v/>
      </c>
      <c r="F11" s="16">
        <f>COUNTIFS(Register!$B$2:$B$269,$A11,Register!$P$2:$P$269,F$3)</f>
        <v/>
      </c>
      <c r="G11" s="16">
        <f>COUNTIFS(Register!$B$2:$B$269,$A11,Register!$P$2:$P$269,G$3)</f>
        <v/>
      </c>
      <c r="H11" s="16">
        <f>COUNTIFS(Register!$B$2:$B$269,$A11,Register!$P$2:$P$269,H$3)</f>
        <v/>
      </c>
      <c r="I11" s="17">
        <f>SUM(B11:H11)</f>
        <v/>
      </c>
      <c r="J11" s="16">
        <f>COUNTIFS(Register!$B$2:$B$269,$A11,Register!$S$2:$S$269,"")</f>
        <v/>
      </c>
    </row>
    <row r="12">
      <c r="A12" s="16" t="inlineStr">
        <is>
          <t>Mailer letter</t>
        </is>
      </c>
      <c r="B12" s="16">
        <f>COUNTIFS(Register!$B$2:$B$269,$A12,Register!$P$2:$P$269,B$3)</f>
        <v/>
      </c>
      <c r="C12" s="16">
        <f>COUNTIFS(Register!$B$2:$B$269,$A12,Register!$P$2:$P$269,C$3)</f>
        <v/>
      </c>
      <c r="D12" s="16">
        <f>COUNTIFS(Register!$B$2:$B$269,$A12,Register!$P$2:$P$269,D$3)</f>
        <v/>
      </c>
      <c r="E12" s="16">
        <f>COUNTIFS(Register!$B$2:$B$269,$A12,Register!$P$2:$P$269,E$3)</f>
        <v/>
      </c>
      <c r="F12" s="16">
        <f>COUNTIFS(Register!$B$2:$B$269,$A12,Register!$P$2:$P$269,F$3)</f>
        <v/>
      </c>
      <c r="G12" s="16">
        <f>COUNTIFS(Register!$B$2:$B$269,$A12,Register!$P$2:$P$269,G$3)</f>
        <v/>
      </c>
      <c r="H12" s="16">
        <f>COUNTIFS(Register!$B$2:$B$269,$A12,Register!$P$2:$P$269,H$3)</f>
        <v/>
      </c>
      <c r="I12" s="17">
        <f>SUM(B12:H12)</f>
        <v/>
      </c>
      <c r="J12" s="16">
        <f>COUNTIFS(Register!$B$2:$B$269,$A12,Register!$S$2:$S$269,"")</f>
        <v/>
      </c>
    </row>
    <row r="13">
      <c r="A13" s="16" t="inlineStr">
        <is>
          <t>Old library (unwired)</t>
        </is>
      </c>
      <c r="B13" s="16">
        <f>COUNTIFS(Register!$B$2:$B$269,$A13,Register!$P$2:$P$269,B$3)</f>
        <v/>
      </c>
      <c r="C13" s="16">
        <f>COUNTIFS(Register!$B$2:$B$269,$A13,Register!$P$2:$P$269,C$3)</f>
        <v/>
      </c>
      <c r="D13" s="16">
        <f>COUNTIFS(Register!$B$2:$B$269,$A13,Register!$P$2:$P$269,D$3)</f>
        <v/>
      </c>
      <c r="E13" s="16">
        <f>COUNTIFS(Register!$B$2:$B$269,$A13,Register!$P$2:$P$269,E$3)</f>
        <v/>
      </c>
      <c r="F13" s="16">
        <f>COUNTIFS(Register!$B$2:$B$269,$A13,Register!$P$2:$P$269,F$3)</f>
        <v/>
      </c>
      <c r="G13" s="16">
        <f>COUNTIFS(Register!$B$2:$B$269,$A13,Register!$P$2:$P$269,G$3)</f>
        <v/>
      </c>
      <c r="H13" s="16">
        <f>COUNTIFS(Register!$B$2:$B$269,$A13,Register!$P$2:$P$269,H$3)</f>
        <v/>
      </c>
      <c r="I13" s="17">
        <f>SUM(B13:H13)</f>
        <v/>
      </c>
      <c r="J13" s="16">
        <f>COUNTIFS(Register!$B$2:$B$269,$A13,Register!$S$2:$S$269,"")</f>
        <v/>
      </c>
    </row>
    <row r="14">
      <c r="A14" s="16" t="inlineStr">
        <is>
          <t>One-off set-up report</t>
        </is>
      </c>
      <c r="B14" s="16">
        <f>COUNTIFS(Register!$B$2:$B$269,$A14,Register!$P$2:$P$269,B$3)</f>
        <v/>
      </c>
      <c r="C14" s="16">
        <f>COUNTIFS(Register!$B$2:$B$269,$A14,Register!$P$2:$P$269,C$3)</f>
        <v/>
      </c>
      <c r="D14" s="16">
        <f>COUNTIFS(Register!$B$2:$B$269,$A14,Register!$P$2:$P$269,D$3)</f>
        <v/>
      </c>
      <c r="E14" s="16">
        <f>COUNTIFS(Register!$B$2:$B$269,$A14,Register!$P$2:$P$269,E$3)</f>
        <v/>
      </c>
      <c r="F14" s="16">
        <f>COUNTIFS(Register!$B$2:$B$269,$A14,Register!$P$2:$P$269,F$3)</f>
        <v/>
      </c>
      <c r="G14" s="16">
        <f>COUNTIFS(Register!$B$2:$B$269,$A14,Register!$P$2:$P$269,G$3)</f>
        <v/>
      </c>
      <c r="H14" s="16">
        <f>COUNTIFS(Register!$B$2:$B$269,$A14,Register!$P$2:$P$269,H$3)</f>
        <v/>
      </c>
      <c r="I14" s="17">
        <f>SUM(B14:H14)</f>
        <v/>
      </c>
      <c r="J14" s="16">
        <f>COUNTIFS(Register!$B$2:$B$269,$A14,Register!$S$2:$S$269,"")</f>
        <v/>
      </c>
    </row>
    <row r="15">
      <c r="A15" s="16" t="inlineStr">
        <is>
          <t>Other template · Config template</t>
        </is>
      </c>
      <c r="B15" s="16">
        <f>COUNTIFS(Register!$B$2:$B$269,$A15,Register!$P$2:$P$269,B$3)</f>
        <v/>
      </c>
      <c r="C15" s="16">
        <f>COUNTIFS(Register!$B$2:$B$269,$A15,Register!$P$2:$P$269,C$3)</f>
        <v/>
      </c>
      <c r="D15" s="16">
        <f>COUNTIFS(Register!$B$2:$B$269,$A15,Register!$P$2:$P$269,D$3)</f>
        <v/>
      </c>
      <c r="E15" s="16">
        <f>COUNTIFS(Register!$B$2:$B$269,$A15,Register!$P$2:$P$269,E$3)</f>
        <v/>
      </c>
      <c r="F15" s="16">
        <f>COUNTIFS(Register!$B$2:$B$269,$A15,Register!$P$2:$P$269,F$3)</f>
        <v/>
      </c>
      <c r="G15" s="16">
        <f>COUNTIFS(Register!$B$2:$B$269,$A15,Register!$P$2:$P$269,G$3)</f>
        <v/>
      </c>
      <c r="H15" s="16">
        <f>COUNTIFS(Register!$B$2:$B$269,$A15,Register!$P$2:$P$269,H$3)</f>
        <v/>
      </c>
      <c r="I15" s="17">
        <f>SUM(B15:H15)</f>
        <v/>
      </c>
      <c r="J15" s="16">
        <f>COUNTIFS(Register!$B$2:$B$269,$A15,Register!$S$2:$S$269,"")</f>
        <v/>
      </c>
    </row>
    <row r="16">
      <c r="A16" s="16" t="inlineStr">
        <is>
          <t>Other template · Document template</t>
        </is>
      </c>
      <c r="B16" s="16">
        <f>COUNTIFS(Register!$B$2:$B$269,$A16,Register!$P$2:$P$269,B$3)</f>
        <v/>
      </c>
      <c r="C16" s="16">
        <f>COUNTIFS(Register!$B$2:$B$269,$A16,Register!$P$2:$P$269,C$3)</f>
        <v/>
      </c>
      <c r="D16" s="16">
        <f>COUNTIFS(Register!$B$2:$B$269,$A16,Register!$P$2:$P$269,D$3)</f>
        <v/>
      </c>
      <c r="E16" s="16">
        <f>COUNTIFS(Register!$B$2:$B$269,$A16,Register!$P$2:$P$269,E$3)</f>
        <v/>
      </c>
      <c r="F16" s="16">
        <f>COUNTIFS(Register!$B$2:$B$269,$A16,Register!$P$2:$P$269,F$3)</f>
        <v/>
      </c>
      <c r="G16" s="16">
        <f>COUNTIFS(Register!$B$2:$B$269,$A16,Register!$P$2:$P$269,G$3)</f>
        <v/>
      </c>
      <c r="H16" s="16">
        <f>COUNTIFS(Register!$B$2:$B$269,$A16,Register!$P$2:$P$269,H$3)</f>
        <v/>
      </c>
      <c r="I16" s="17">
        <f>SUM(B16:H16)</f>
        <v/>
      </c>
      <c r="J16" s="16">
        <f>COUNTIFS(Register!$B$2:$B$269,$A16,Register!$S$2:$S$269,"")</f>
        <v/>
      </c>
    </row>
    <row r="17">
      <c r="A17" s="16" t="inlineStr">
        <is>
          <t>Other template · Flow template</t>
        </is>
      </c>
      <c r="B17" s="16">
        <f>COUNTIFS(Register!$B$2:$B$269,$A17,Register!$P$2:$P$269,B$3)</f>
        <v/>
      </c>
      <c r="C17" s="16">
        <f>COUNTIFS(Register!$B$2:$B$269,$A17,Register!$P$2:$P$269,C$3)</f>
        <v/>
      </c>
      <c r="D17" s="16">
        <f>COUNTIFS(Register!$B$2:$B$269,$A17,Register!$P$2:$P$269,D$3)</f>
        <v/>
      </c>
      <c r="E17" s="16">
        <f>COUNTIFS(Register!$B$2:$B$269,$A17,Register!$P$2:$P$269,E$3)</f>
        <v/>
      </c>
      <c r="F17" s="16">
        <f>COUNTIFS(Register!$B$2:$B$269,$A17,Register!$P$2:$P$269,F$3)</f>
        <v/>
      </c>
      <c r="G17" s="16">
        <f>COUNTIFS(Register!$B$2:$B$269,$A17,Register!$P$2:$P$269,G$3)</f>
        <v/>
      </c>
      <c r="H17" s="16">
        <f>COUNTIFS(Register!$B$2:$B$269,$A17,Register!$P$2:$P$269,H$3)</f>
        <v/>
      </c>
      <c r="I17" s="17">
        <f>SUM(B17:H17)</f>
        <v/>
      </c>
      <c r="J17" s="16">
        <f>COUNTIFS(Register!$B$2:$B$269,$A17,Register!$S$2:$S$269,"")</f>
        <v/>
      </c>
    </row>
    <row r="18">
      <c r="A18" s="16" t="inlineStr">
        <is>
          <t>Other template · Mail link (no prefilled content)</t>
        </is>
      </c>
      <c r="B18" s="16">
        <f>COUNTIFS(Register!$B$2:$B$269,$A18,Register!$P$2:$P$269,B$3)</f>
        <v/>
      </c>
      <c r="C18" s="16">
        <f>COUNTIFS(Register!$B$2:$B$269,$A18,Register!$P$2:$P$269,C$3)</f>
        <v/>
      </c>
      <c r="D18" s="16">
        <f>COUNTIFS(Register!$B$2:$B$269,$A18,Register!$P$2:$P$269,D$3)</f>
        <v/>
      </c>
      <c r="E18" s="16">
        <f>COUNTIFS(Register!$B$2:$B$269,$A18,Register!$P$2:$P$269,E$3)</f>
        <v/>
      </c>
      <c r="F18" s="16">
        <f>COUNTIFS(Register!$B$2:$B$269,$A18,Register!$P$2:$P$269,F$3)</f>
        <v/>
      </c>
      <c r="G18" s="16">
        <f>COUNTIFS(Register!$B$2:$B$269,$A18,Register!$P$2:$P$269,G$3)</f>
        <v/>
      </c>
      <c r="H18" s="16">
        <f>COUNTIFS(Register!$B$2:$B$269,$A18,Register!$P$2:$P$269,H$3)</f>
        <v/>
      </c>
      <c r="I18" s="17">
        <f>SUM(B18:H18)</f>
        <v/>
      </c>
      <c r="J18" s="16">
        <f>COUNTIFS(Register!$B$2:$B$269,$A18,Register!$S$2:$S$269,"")</f>
        <v/>
      </c>
    </row>
    <row r="19">
      <c r="A19" s="16" t="inlineStr">
        <is>
          <t>Other template · Record template</t>
        </is>
      </c>
      <c r="B19" s="16">
        <f>COUNTIFS(Register!$B$2:$B$269,$A19,Register!$P$2:$P$269,B$3)</f>
        <v/>
      </c>
      <c r="C19" s="16">
        <f>COUNTIFS(Register!$B$2:$B$269,$A19,Register!$P$2:$P$269,C$3)</f>
        <v/>
      </c>
      <c r="D19" s="16">
        <f>COUNTIFS(Register!$B$2:$B$269,$A19,Register!$P$2:$P$269,D$3)</f>
        <v/>
      </c>
      <c r="E19" s="16">
        <f>COUNTIFS(Register!$B$2:$B$269,$A19,Register!$P$2:$P$269,E$3)</f>
        <v/>
      </c>
      <c r="F19" s="16">
        <f>COUNTIFS(Register!$B$2:$B$269,$A19,Register!$P$2:$P$269,F$3)</f>
        <v/>
      </c>
      <c r="G19" s="16">
        <f>COUNTIFS(Register!$B$2:$B$269,$A19,Register!$P$2:$P$269,G$3)</f>
        <v/>
      </c>
      <c r="H19" s="16">
        <f>COUNTIFS(Register!$B$2:$B$269,$A19,Register!$P$2:$P$269,H$3)</f>
        <v/>
      </c>
      <c r="I19" s="17">
        <f>SUM(B19:H19)</f>
        <v/>
      </c>
      <c r="J19" s="16">
        <f>COUNTIFS(Register!$B$2:$B$269,$A19,Register!$S$2:$S$269,"")</f>
        <v/>
      </c>
    </row>
    <row r="20">
      <c r="A20" s="16" t="inlineStr">
        <is>
          <t>Other template · Registry template</t>
        </is>
      </c>
      <c r="B20" s="16">
        <f>COUNTIFS(Register!$B$2:$B$269,$A20,Register!$P$2:$P$269,B$3)</f>
        <v/>
      </c>
      <c r="C20" s="16">
        <f>COUNTIFS(Register!$B$2:$B$269,$A20,Register!$P$2:$P$269,C$3)</f>
        <v/>
      </c>
      <c r="D20" s="16">
        <f>COUNTIFS(Register!$B$2:$B$269,$A20,Register!$P$2:$P$269,D$3)</f>
        <v/>
      </c>
      <c r="E20" s="16">
        <f>COUNTIFS(Register!$B$2:$B$269,$A20,Register!$P$2:$P$269,E$3)</f>
        <v/>
      </c>
      <c r="F20" s="16">
        <f>COUNTIFS(Register!$B$2:$B$269,$A20,Register!$P$2:$P$269,F$3)</f>
        <v/>
      </c>
      <c r="G20" s="16">
        <f>COUNTIFS(Register!$B$2:$B$269,$A20,Register!$P$2:$P$269,G$3)</f>
        <v/>
      </c>
      <c r="H20" s="16">
        <f>COUNTIFS(Register!$B$2:$B$269,$A20,Register!$P$2:$P$269,H$3)</f>
        <v/>
      </c>
      <c r="I20" s="17">
        <f>SUM(B20:H20)</f>
        <v/>
      </c>
      <c r="J20" s="16">
        <f>COUNTIFS(Register!$B$2:$B$269,$A20,Register!$S$2:$S$269,"")</f>
        <v/>
      </c>
    </row>
    <row r="21">
      <c r="A21" s="16" t="inlineStr">
        <is>
          <t>Other template · Tool template</t>
        </is>
      </c>
      <c r="B21" s="16">
        <f>COUNTIFS(Register!$B$2:$B$269,$A21,Register!$P$2:$P$269,B$3)</f>
        <v/>
      </c>
      <c r="C21" s="16">
        <f>COUNTIFS(Register!$B$2:$B$269,$A21,Register!$P$2:$P$269,C$3)</f>
        <v/>
      </c>
      <c r="D21" s="16">
        <f>COUNTIFS(Register!$B$2:$B$269,$A21,Register!$P$2:$P$269,D$3)</f>
        <v/>
      </c>
      <c r="E21" s="16">
        <f>COUNTIFS(Register!$B$2:$B$269,$A21,Register!$P$2:$P$269,E$3)</f>
        <v/>
      </c>
      <c r="F21" s="16">
        <f>COUNTIFS(Register!$B$2:$B$269,$A21,Register!$P$2:$P$269,F$3)</f>
        <v/>
      </c>
      <c r="G21" s="16">
        <f>COUNTIFS(Register!$B$2:$B$269,$A21,Register!$P$2:$P$269,G$3)</f>
        <v/>
      </c>
      <c r="H21" s="16">
        <f>COUNTIFS(Register!$B$2:$B$269,$A21,Register!$P$2:$P$269,H$3)</f>
        <v/>
      </c>
      <c r="I21" s="17">
        <f>SUM(B21:H21)</f>
        <v/>
      </c>
      <c r="J21" s="16">
        <f>COUNTIFS(Register!$B$2:$B$269,$A21,Register!$S$2:$S$269,"")</f>
        <v/>
      </c>
    </row>
    <row r="22">
      <c r="A22" s="16" t="inlineStr">
        <is>
          <t>Required notification · other</t>
        </is>
      </c>
      <c r="B22" s="16">
        <f>COUNTIFS(Register!$B$2:$B$269,$A22,Register!$P$2:$P$269,B$3)</f>
        <v/>
      </c>
      <c r="C22" s="16">
        <f>COUNTIFS(Register!$B$2:$B$269,$A22,Register!$P$2:$P$269,C$3)</f>
        <v/>
      </c>
      <c r="D22" s="16">
        <f>COUNTIFS(Register!$B$2:$B$269,$A22,Register!$P$2:$P$269,D$3)</f>
        <v/>
      </c>
      <c r="E22" s="16">
        <f>COUNTIFS(Register!$B$2:$B$269,$A22,Register!$P$2:$P$269,E$3)</f>
        <v/>
      </c>
      <c r="F22" s="16">
        <f>COUNTIFS(Register!$B$2:$B$269,$A22,Register!$P$2:$P$269,F$3)</f>
        <v/>
      </c>
      <c r="G22" s="16">
        <f>COUNTIFS(Register!$B$2:$B$269,$A22,Register!$P$2:$P$269,G$3)</f>
        <v/>
      </c>
      <c r="H22" s="16">
        <f>COUNTIFS(Register!$B$2:$B$269,$A22,Register!$P$2:$P$269,H$3)</f>
        <v/>
      </c>
      <c r="I22" s="17">
        <f>SUM(B22:H22)</f>
        <v/>
      </c>
      <c r="J22" s="16">
        <f>COUNTIFS(Register!$B$2:$B$269,$A22,Register!$S$2:$S$269,"")</f>
        <v/>
      </c>
    </row>
    <row r="23">
      <c r="A23" s="16" t="inlineStr">
        <is>
          <t>Retired flow</t>
        </is>
      </c>
      <c r="B23" s="16">
        <f>COUNTIFS(Register!$B$2:$B$269,$A23,Register!$P$2:$P$269,B$3)</f>
        <v/>
      </c>
      <c r="C23" s="16">
        <f>COUNTIFS(Register!$B$2:$B$269,$A23,Register!$P$2:$P$269,C$3)</f>
        <v/>
      </c>
      <c r="D23" s="16">
        <f>COUNTIFS(Register!$B$2:$B$269,$A23,Register!$P$2:$P$269,D$3)</f>
        <v/>
      </c>
      <c r="E23" s="16">
        <f>COUNTIFS(Register!$B$2:$B$269,$A23,Register!$P$2:$P$269,E$3)</f>
        <v/>
      </c>
      <c r="F23" s="16">
        <f>COUNTIFS(Register!$B$2:$B$269,$A23,Register!$P$2:$P$269,F$3)</f>
        <v/>
      </c>
      <c r="G23" s="16">
        <f>COUNTIFS(Register!$B$2:$B$269,$A23,Register!$P$2:$P$269,G$3)</f>
        <v/>
      </c>
      <c r="H23" s="16">
        <f>COUNTIFS(Register!$B$2:$B$269,$A23,Register!$P$2:$P$269,H$3)</f>
        <v/>
      </c>
      <c r="I23" s="17">
        <f>SUM(B23:H23)</f>
        <v/>
      </c>
      <c r="J23" s="16">
        <f>COUNTIFS(Register!$B$2:$B$269,$A23,Register!$S$2:$S$269,"")</f>
        <v/>
      </c>
    </row>
    <row r="24">
      <c r="A24" s="16" t="inlineStr">
        <is>
          <t>Specified flow · not in the adopted estate</t>
        </is>
      </c>
      <c r="B24" s="16">
        <f>COUNTIFS(Register!$B$2:$B$269,$A24,Register!$P$2:$P$269,B$3)</f>
        <v/>
      </c>
      <c r="C24" s="16">
        <f>COUNTIFS(Register!$B$2:$B$269,$A24,Register!$P$2:$P$269,C$3)</f>
        <v/>
      </c>
      <c r="D24" s="16">
        <f>COUNTIFS(Register!$B$2:$B$269,$A24,Register!$P$2:$P$269,D$3)</f>
        <v/>
      </c>
      <c r="E24" s="16">
        <f>COUNTIFS(Register!$B$2:$B$269,$A24,Register!$P$2:$P$269,E$3)</f>
        <v/>
      </c>
      <c r="F24" s="16">
        <f>COUNTIFS(Register!$B$2:$B$269,$A24,Register!$P$2:$P$269,F$3)</f>
        <v/>
      </c>
      <c r="G24" s="16">
        <f>COUNTIFS(Register!$B$2:$B$269,$A24,Register!$P$2:$P$269,G$3)</f>
        <v/>
      </c>
      <c r="H24" s="16">
        <f>COUNTIFS(Register!$B$2:$B$269,$A24,Register!$P$2:$P$269,H$3)</f>
        <v/>
      </c>
      <c r="I24" s="17">
        <f>SUM(B24:H24)</f>
        <v/>
      </c>
      <c r="J24" s="16">
        <f>COUNTIFS(Register!$B$2:$B$269,$A24,Register!$S$2:$S$269,"")</f>
        <v/>
      </c>
    </row>
    <row r="25">
      <c r="A25" s="16" t="inlineStr">
        <is>
          <t>Superseded artefact</t>
        </is>
      </c>
      <c r="B25" s="16">
        <f>COUNTIFS(Register!$B$2:$B$269,$A25,Register!$P$2:$P$269,B$3)</f>
        <v/>
      </c>
      <c r="C25" s="16">
        <f>COUNTIFS(Register!$B$2:$B$269,$A25,Register!$P$2:$P$269,C$3)</f>
        <v/>
      </c>
      <c r="D25" s="16">
        <f>COUNTIFS(Register!$B$2:$B$269,$A25,Register!$P$2:$P$269,D$3)</f>
        <v/>
      </c>
      <c r="E25" s="16">
        <f>COUNTIFS(Register!$B$2:$B$269,$A25,Register!$P$2:$P$269,E$3)</f>
        <v/>
      </c>
      <c r="F25" s="16">
        <f>COUNTIFS(Register!$B$2:$B$269,$A25,Register!$P$2:$P$269,F$3)</f>
        <v/>
      </c>
      <c r="G25" s="16">
        <f>COUNTIFS(Register!$B$2:$B$269,$A25,Register!$P$2:$P$269,G$3)</f>
        <v/>
      </c>
      <c r="H25" s="16">
        <f>COUNTIFS(Register!$B$2:$B$269,$A25,Register!$P$2:$P$269,H$3)</f>
        <v/>
      </c>
      <c r="I25" s="17">
        <f>SUM(B25:H25)</f>
        <v/>
      </c>
      <c r="J25" s="16">
        <f>COUNTIFS(Register!$B$2:$B$269,$A25,Register!$S$2:$S$269,"")</f>
        <v/>
      </c>
    </row>
    <row r="26">
      <c r="A26" s="16" t="inlineStr">
        <is>
          <t>Surplus send (matrix)</t>
        </is>
      </c>
      <c r="B26" s="16">
        <f>COUNTIFS(Register!$B$2:$B$269,$A26,Register!$P$2:$P$269,B$3)</f>
        <v/>
      </c>
      <c r="C26" s="16">
        <f>COUNTIFS(Register!$B$2:$B$269,$A26,Register!$P$2:$P$269,C$3)</f>
        <v/>
      </c>
      <c r="D26" s="16">
        <f>COUNTIFS(Register!$B$2:$B$269,$A26,Register!$P$2:$P$269,D$3)</f>
        <v/>
      </c>
      <c r="E26" s="16">
        <f>COUNTIFS(Register!$B$2:$B$269,$A26,Register!$P$2:$P$269,E$3)</f>
        <v/>
      </c>
      <c r="F26" s="16">
        <f>COUNTIFS(Register!$B$2:$B$269,$A26,Register!$P$2:$P$269,F$3)</f>
        <v/>
      </c>
      <c r="G26" s="16">
        <f>COUNTIFS(Register!$B$2:$B$269,$A26,Register!$P$2:$P$269,G$3)</f>
        <v/>
      </c>
      <c r="H26" s="16">
        <f>COUNTIFS(Register!$B$2:$B$269,$A26,Register!$P$2:$P$269,H$3)</f>
        <v/>
      </c>
      <c r="I26" s="17">
        <f>SUM(B26:H26)</f>
        <v/>
      </c>
      <c r="J26" s="16">
        <f>COUNTIFS(Register!$B$2:$B$269,$A26,Register!$S$2:$S$269,"")</f>
        <v/>
      </c>
    </row>
    <row r="27">
      <c r="A27" s="17" t="inlineStr">
        <is>
          <t>Total</t>
        </is>
      </c>
      <c r="B27" s="17">
        <f>SUM(B4:B26)</f>
        <v/>
      </c>
      <c r="C27" s="17">
        <f>SUM(C4:C26)</f>
        <v/>
      </c>
      <c r="D27" s="17">
        <f>SUM(D4:D26)</f>
        <v/>
      </c>
      <c r="E27" s="17">
        <f>SUM(E4:E26)</f>
        <v/>
      </c>
      <c r="F27" s="17">
        <f>SUM(F4:F26)</f>
        <v/>
      </c>
      <c r="G27" s="17">
        <f>SUM(G4:G26)</f>
        <v/>
      </c>
      <c r="H27" s="17">
        <f>SUM(H4:H26)</f>
        <v/>
      </c>
      <c r="I27" s="17">
        <f>SUM(I4:I26)</f>
        <v/>
      </c>
      <c r="J27" s="17">
        <f>SUM(J4:J26)</f>
        <v/>
      </c>
    </row>
    <row r="29">
      <c r="A29" s="18" t="inlineStr">
        <is>
          <t>Check: rows on the Register</t>
        </is>
      </c>
      <c r="B29" s="18">
        <f>COUNTA(Register!$A$2:$A$269)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9" customWidth="1" min="1" max="1"/>
    <col width="110" customWidth="1" min="2" max="2"/>
    <col width="22" customWidth="1" min="3" max="3"/>
  </cols>
  <sheetData>
    <row r="1">
      <c r="A1" s="19" t="inlineStr">
        <is>
          <t>Finding</t>
        </is>
      </c>
      <c r="B1" s="19" t="inlineStr">
        <is>
          <t>Statement</t>
        </is>
      </c>
      <c r="C1" s="19" t="inlineStr">
        <is>
          <t>Register rows citing it</t>
        </is>
      </c>
    </row>
    <row r="2">
      <c r="A2" s="17" t="inlineStr">
        <is>
          <t>F1</t>
        </is>
      </c>
      <c r="B2" s="2" t="inlineStr">
        <is>
          <t>Release 36 frames every e-mail sent through IP_SEND_EMAIL a second time: staff notices (8), Correspondence Desk letters (RN-021, RN-022) and report e-mails (RN-024) arrive with two greetings, two headers and a nested page, labelled "Official correspondence". Confirmed live 2026-10-19.</t>
        </is>
      </c>
      <c r="C2" s="16">
        <f>COUNTIF(Register!$Q$2:$Q$269,"*F1:*")</f>
        <v/>
      </c>
    </row>
    <row r="3">
      <c r="A3" s="17" t="inlineStr">
        <is>
          <t>F2</t>
        </is>
      </c>
      <c r="B3" s="2" t="inlineStr">
        <is>
          <t>Required notifications with no template: none remain. RN-020 and RN-022 (built 2026-10-19 00:07) and RN-025 and RN-035 (Release 38) now have carriers; RN-020 and RN-022 inherit F1.</t>
        </is>
      </c>
      <c r="C3" s="16" t="inlineStr">
        <is>
          <t>n/a (resolved)</t>
        </is>
      </c>
    </row>
    <row r="4">
      <c r="A4" s="17" t="inlineStr">
        <is>
          <t>F3</t>
        </is>
      </c>
      <c r="B4" s="2" t="inlineStr">
        <is>
          <t>The governance flows send 16 mails from 9 inline bodies outside the catalogue; 11 have no logo or structure; GOV-04 loads its logo from nitda.gov.ng/assets/, not the catalogue image host (folio-portal.page.gd/email-assets/ since release 39, 2026-10-19; correspondence-gateway.rf.gd is suspended). The captured bodies use off-palette colours (#004578 and others) and Segoe UI; no brand check covers them.</t>
        </is>
      </c>
      <c r="C4" s="16">
        <f>COUNTIF(Register!$Q$2:$Q$269,"*F3:*")</f>
        <v/>
      </c>
    </row>
    <row r="5">
      <c r="A5" s="17" t="inlineStr">
        <is>
          <t>F4</t>
        </is>
      </c>
      <c r="B5" s="2" t="inlineStr">
        <is>
          <t>Corrected 2026-10-19. Client templates are outside the catalogue and the owner's 2026-10-18 brand set. Staff notices are held to the palette by tests/staff-notice.test.mjs; Correspondence Desk letters and the Mailer letterhead are held to the palette and to NITDA alone by test:brand. Not covered by any check: report e-mails (no inline styling), the Mailer starter letters (Cambria serif, #1B1B1B) and the sign-in code mail; nor the type and layout of the Desk letters (Arial, 760 px, no lang, no preheader, no logo).</t>
        </is>
      </c>
      <c r="C5" s="16">
        <f>COUNTIF(Register!$Q$2:$Q$269,"*F4:*")</f>
        <v/>
      </c>
    </row>
    <row r="6">
      <c r="A6" s="17" t="inlineStr">
        <is>
          <t>F5</t>
        </is>
      </c>
      <c r="B6" s="2" t="inlineStr">
        <is>
          <t>Implied but unsent: the Workspace support request (no flow case) and a citizen notice when acknowledgement is overdue.</t>
        </is>
      </c>
      <c r="C6" s="16">
        <f>COUNTIF(Register!$Q$2:$Q$269,"*F5:*")</f>
        <v/>
      </c>
    </row>
    <row r="7">
      <c r="A7" s="17" t="inlineStr">
        <is>
          <t>F6</t>
        </is>
      </c>
      <c r="B7" s="2" t="inlineStr">
        <is>
          <t>Specified flows not yet in the estate carry their own inline templates (user directory sync, endpoint inventory, Flow Estate live report).</t>
        </is>
      </c>
      <c r="C7" s="16">
        <f>COUNTIF(Register!$Q$2:$Q$269,"*F6:*")</f>
        <v/>
      </c>
    </row>
    <row r="8">
      <c r="A8" s="17" t="inlineStr">
        <is>
          <t>F7</t>
        </is>
      </c>
      <c r="B8" s="2" t="inlineStr">
        <is>
          <t>Qualified 2026-10-19. The older 20-template library still sits beside the catalogue, unwired. ITEM-68 (which carried the 2026-10-03 one-source decision) is RESOLVED, so this is recorded, not reopened; the brand README still describes these 20 as the live e-mails (B1).</t>
        </is>
      </c>
      <c r="C8" s="16">
        <f>COUNTIF(Register!$Q$2:$Q$269,"*F7:*")</f>
        <v/>
      </c>
    </row>
    <row r="9">
      <c r="A9" s="17" t="inlineStr">
        <is>
          <t>B1</t>
        </is>
      </c>
      <c r="B9" s="2" t="inlineStr">
        <is>
          <t>styles/dgo-design-system/README.md describes an older state: PENDING empty and 59 outputs (test:brand: 2 pending, 115 classified); e-mail row "20 notification templates, 6 correspondence templates" and RX-01 "12 internal staff emails (as text)" describe the unwired library, not the 51-message catalogue; Packaged and Embedded lists (3, 16) shorter than the gate (6, 17).</t>
        </is>
      </c>
      <c r="C9" s="16" t="inlineStr">
        <is>
          <t>n/a (no template row)</t>
        </is>
      </c>
    </row>
    <row r="10">
      <c r="A10" s="17" t="inlineStr">
        <is>
          <t>B2</t>
        </is>
      </c>
      <c r="B10" s="2" t="inlineStr">
        <is>
          <t>Sub-brand applied unevenly in internal e-mail: the owner resolution (email-catalogue/ACCEPTANCE.md, 2026-10-18) puts the DGO Digital Ops logo on internal mail; 27 catalogue messages carry it, 8 internal ones do not (status DECISION), 6 of which sign as "Folio · NITDA Digital Correspondence", a name in neither the brand README nor PLATFORM_NAMING.md. Staff notices carry no DGO mark either.</t>
        </is>
      </c>
      <c r="C10" s="16">
        <f>COUNTIF(Register!$Q$2:$Q$269,"*B2:*")</f>
        <v/>
      </c>
    </row>
    <row r="11">
      <c r="A11" s="17" t="inlineStr">
        <is>
          <t>B3</t>
        </is>
      </c>
      <c r="B11" s="2" t="inlineStr">
        <is>
          <t>tests/brand-authority.test.mjs still lists the New E-Scan template as PENDING (off-brand), but it now uses only palette colours and the brand image host; it can be classified EMAIL (a test change, no flow release).</t>
        </is>
      </c>
      <c r="C11" s="16" t="inlineStr">
        <is>
          <t>n/a (no template row)</t>
        </is>
      </c>
    </row>
    <row r="12">
      <c r="A12" s="17" t="inlineStr">
        <is>
          <t>B4</t>
        </is>
      </c>
      <c r="B12" s="2" t="inlineStr">
        <is>
          <t>The Portal logos (document-portal/ds/logo/) are earlier exports, not byte-identical to the masters; the brand README itself says replace them at the next Portal review.</t>
        </is>
      </c>
      <c r="C12" s="16" t="inlineStr">
        <is>
          <t>n/a (no template row)</t>
        </is>
      </c>
    </row>
    <row r="13">
      <c r="A13" s="17" t="inlineStr">
        <is>
          <t>B5</t>
        </is>
      </c>
      <c r="B13" s="2" t="inlineStr">
        <is>
          <t>Unreferenced legacy HTML steps in released packages load images from third-party hosts: Single_Task_Assignment (3) and BULK_OPS_DATA_RETRIEVAL_HTTP (2) a NITDA logo on d15k2d11r6t6rl.cloudfront.net; the scan flow (5) also flaticon.com, myfiles.space and the placeholder yourcdn.com. None feeds a send; cleanup can ride a later release.</t>
        </is>
      </c>
      <c r="C13" s="16" t="inlineStr">
        <is>
          <t>n/a (no template row)</t>
        </is>
      </c>
    </row>
    <row r="14">
      <c r="A14" s="17" t="inlineStr">
        <is>
          <t>B6</t>
        </is>
      </c>
      <c r="B14" s="2" t="inlineStr">
        <is>
          <t>Not covered by any brand check: GOV mail bodies, Mailer starter letters, report e-mails, and the type and layout of the Desk letters.</t>
        </is>
      </c>
      <c r="C14" s="16" t="inlineStr">
        <is>
          <t>n/a (no template row)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2026-10-19T21:47:58Z</dcterms:created>
  <dcterms:modified xmlns:dcterms="http://purl.org/dc/terms/" xmlns:xsi="http://www.w3.org/2001/XMLSchema-instance" xsi:type="dcterms:W3CDTF">2026-10-19T21:47:58Z</dcterms:modified>
</cp:coreProperties>
</file>